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do\Downloads\"/>
    </mc:Choice>
  </mc:AlternateContent>
  <xr:revisionPtr revIDLastSave="0" documentId="13_ncr:1_{B5F31931-6515-4BF4-88CB-1319558302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tem Analysis" sheetId="2" r:id="rId1"/>
    <sheet name="Summary of Results" sheetId="3" r:id="rId2"/>
    <sheet name="Reliability" sheetId="4" r:id="rId3"/>
    <sheet name="Scores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F2" i="4"/>
  <c r="E2" i="4"/>
  <c r="D2" i="4"/>
  <c r="Z122" i="7"/>
  <c r="Z126" i="7"/>
  <c r="Z127" i="7"/>
  <c r="Y122" i="7"/>
  <c r="Y126" i="7"/>
  <c r="Y127" i="7"/>
  <c r="R122" i="7"/>
  <c r="R126" i="7"/>
  <c r="R127" i="7"/>
  <c r="Q122" i="7"/>
  <c r="Q126" i="7"/>
  <c r="Q127" i="7"/>
  <c r="J122" i="7"/>
  <c r="J126" i="7"/>
  <c r="J127" i="7"/>
  <c r="I122" i="7"/>
  <c r="I126" i="7"/>
  <c r="I127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F124" i="7"/>
  <c r="AE124" i="7"/>
  <c r="AD124" i="7"/>
  <c r="AD128" i="7"/>
  <c r="AC124" i="7"/>
  <c r="AC128" i="7"/>
  <c r="AB124" i="7"/>
  <c r="AA124" i="7"/>
  <c r="Z124" i="7"/>
  <c r="Z128" i="7"/>
  <c r="Y124" i="7"/>
  <c r="Y128" i="7"/>
  <c r="X124" i="7"/>
  <c r="W124" i="7"/>
  <c r="V124" i="7"/>
  <c r="V128" i="7"/>
  <c r="U124" i="7"/>
  <c r="U128" i="7"/>
  <c r="T124" i="7"/>
  <c r="S124" i="7"/>
  <c r="R124" i="7"/>
  <c r="R128" i="7"/>
  <c r="Q124" i="7"/>
  <c r="Q128" i="7"/>
  <c r="P124" i="7"/>
  <c r="O124" i="7"/>
  <c r="N124" i="7"/>
  <c r="N128" i="7"/>
  <c r="M124" i="7"/>
  <c r="M128" i="7"/>
  <c r="L124" i="7"/>
  <c r="K124" i="7"/>
  <c r="J124" i="7"/>
  <c r="J128" i="7"/>
  <c r="I124" i="7"/>
  <c r="I128" i="7"/>
  <c r="H124" i="7"/>
  <c r="G124" i="7"/>
  <c r="F124" i="7"/>
  <c r="F128" i="7"/>
  <c r="E124" i="7"/>
  <c r="E128" i="7"/>
  <c r="D124" i="7"/>
  <c r="C124" i="7"/>
  <c r="AF122" i="7"/>
  <c r="AF126" i="7"/>
  <c r="AF127" i="7"/>
  <c r="AE122" i="7"/>
  <c r="AE126" i="7"/>
  <c r="AE127" i="7"/>
  <c r="AD122" i="7"/>
  <c r="AD126" i="7"/>
  <c r="AD127" i="7"/>
  <c r="AC122" i="7"/>
  <c r="AC126" i="7"/>
  <c r="AC127" i="7"/>
  <c r="AB122" i="7"/>
  <c r="AB126" i="7"/>
  <c r="AB127" i="7"/>
  <c r="AA122" i="7"/>
  <c r="AA126" i="7"/>
  <c r="AA127" i="7"/>
  <c r="X122" i="7"/>
  <c r="X126" i="7"/>
  <c r="X127" i="7"/>
  <c r="W122" i="7"/>
  <c r="W126" i="7"/>
  <c r="W127" i="7"/>
  <c r="V122" i="7"/>
  <c r="V126" i="7"/>
  <c r="V127" i="7"/>
  <c r="U122" i="7"/>
  <c r="U126" i="7"/>
  <c r="U127" i="7"/>
  <c r="T122" i="7"/>
  <c r="T126" i="7"/>
  <c r="T127" i="7"/>
  <c r="S122" i="7"/>
  <c r="S126" i="7"/>
  <c r="S127" i="7"/>
  <c r="P122" i="7"/>
  <c r="P126" i="7"/>
  <c r="P127" i="7"/>
  <c r="O122" i="7"/>
  <c r="O126" i="7"/>
  <c r="O127" i="7"/>
  <c r="N122" i="7"/>
  <c r="N126" i="7"/>
  <c r="N127" i="7"/>
  <c r="M122" i="7"/>
  <c r="M126" i="7"/>
  <c r="M127" i="7"/>
  <c r="L122" i="7"/>
  <c r="L126" i="7"/>
  <c r="L127" i="7"/>
  <c r="K122" i="7"/>
  <c r="K126" i="7"/>
  <c r="K127" i="7"/>
  <c r="H122" i="7"/>
  <c r="H126" i="7"/>
  <c r="H127" i="7"/>
  <c r="G122" i="7"/>
  <c r="G126" i="7"/>
  <c r="G127" i="7"/>
  <c r="F122" i="7"/>
  <c r="F126" i="7"/>
  <c r="F127" i="7"/>
  <c r="E122" i="7"/>
  <c r="E126" i="7"/>
  <c r="E127" i="7"/>
  <c r="D122" i="7"/>
  <c r="D126" i="7"/>
  <c r="D127" i="7"/>
  <c r="C122" i="7"/>
  <c r="C126" i="7"/>
  <c r="C127" i="7"/>
  <c r="B56" i="7"/>
  <c r="B14" i="7"/>
  <c r="B24" i="7"/>
  <c r="B9" i="7"/>
  <c r="B3" i="7"/>
  <c r="B105" i="7"/>
  <c r="B54" i="7"/>
  <c r="B114" i="7"/>
  <c r="B27" i="7"/>
  <c r="B113" i="7"/>
  <c r="B101" i="7"/>
  <c r="B85" i="7"/>
  <c r="B45" i="7"/>
  <c r="B31" i="7"/>
  <c r="B34" i="7"/>
  <c r="B110" i="7"/>
  <c r="B88" i="7"/>
  <c r="B59" i="7"/>
  <c r="B100" i="7"/>
  <c r="B94" i="7"/>
  <c r="B53" i="7"/>
  <c r="B21" i="7"/>
  <c r="B13" i="7"/>
  <c r="B116" i="7"/>
  <c r="B95" i="7"/>
  <c r="B93" i="7"/>
  <c r="B66" i="7"/>
  <c r="B48" i="7"/>
  <c r="B118" i="7"/>
  <c r="B63" i="7"/>
  <c r="B35" i="7"/>
  <c r="B32" i="7"/>
  <c r="B26" i="7"/>
  <c r="B19" i="7"/>
  <c r="B11" i="7"/>
  <c r="B117" i="7"/>
  <c r="B82" i="7"/>
  <c r="B75" i="7"/>
  <c r="B52" i="7"/>
  <c r="B8" i="7"/>
  <c r="B69" i="7"/>
  <c r="B30" i="7"/>
  <c r="B22" i="7"/>
  <c r="B104" i="7"/>
  <c r="B41" i="7"/>
  <c r="B39" i="7"/>
  <c r="B28" i="7"/>
  <c r="B17" i="7"/>
  <c r="B112" i="7"/>
  <c r="B108" i="7"/>
  <c r="B80" i="7"/>
  <c r="B78" i="7"/>
  <c r="B76" i="7"/>
  <c r="B65" i="7"/>
  <c r="B42" i="7"/>
  <c r="B38" i="7"/>
  <c r="B12" i="7"/>
  <c r="B2" i="7"/>
  <c r="B121" i="7"/>
  <c r="B97" i="7"/>
  <c r="B79" i="7"/>
  <c r="B74" i="7"/>
  <c r="B72" i="7"/>
  <c r="B67" i="7"/>
  <c r="B64" i="7"/>
  <c r="B49" i="7"/>
  <c r="B33" i="7"/>
  <c r="B7" i="7"/>
  <c r="B107" i="7"/>
  <c r="B102" i="7"/>
  <c r="B90" i="7"/>
  <c r="B51" i="7"/>
  <c r="B43" i="7"/>
  <c r="B37" i="7"/>
  <c r="B18" i="7"/>
  <c r="B5" i="7"/>
  <c r="B4" i="7"/>
  <c r="B103" i="7"/>
  <c r="B98" i="7"/>
  <c r="B91" i="7"/>
  <c r="B81" i="7"/>
  <c r="B68" i="7"/>
  <c r="B60" i="7"/>
  <c r="B40" i="7"/>
  <c r="B16" i="7"/>
  <c r="B119" i="7"/>
  <c r="B96" i="7"/>
  <c r="B73" i="7"/>
  <c r="B71" i="7"/>
  <c r="B61" i="7"/>
  <c r="B57" i="7"/>
  <c r="B55" i="7"/>
  <c r="B36" i="7"/>
  <c r="B23" i="7"/>
  <c r="B10" i="7"/>
  <c r="B84" i="7"/>
  <c r="B83" i="7"/>
  <c r="B62" i="7"/>
  <c r="B58" i="7"/>
  <c r="B50" i="7"/>
  <c r="B46" i="7"/>
  <c r="B120" i="7"/>
  <c r="B106" i="7"/>
  <c r="B87" i="7"/>
  <c r="B25" i="7"/>
  <c r="B111" i="7"/>
  <c r="B86" i="7"/>
  <c r="B70" i="7"/>
  <c r="B44" i="7"/>
  <c r="B15" i="7"/>
  <c r="B99" i="7"/>
  <c r="B92" i="7"/>
  <c r="B6" i="7"/>
  <c r="B109" i="7"/>
  <c r="B77" i="7"/>
  <c r="B47" i="7"/>
  <c r="B115" i="7"/>
  <c r="B89" i="7"/>
  <c r="B20" i="7"/>
  <c r="C128" i="7"/>
  <c r="G128" i="7"/>
  <c r="K128" i="7"/>
  <c r="O128" i="7"/>
  <c r="O129" i="7"/>
  <c r="S128" i="7"/>
  <c r="W128" i="7"/>
  <c r="AA128" i="7"/>
  <c r="AA130" i="7"/>
  <c r="AE128" i="7"/>
  <c r="AE129" i="7"/>
  <c r="D128" i="7"/>
  <c r="H128" i="7"/>
  <c r="L128" i="7"/>
  <c r="L130" i="7"/>
  <c r="P128" i="7"/>
  <c r="P130" i="7"/>
  <c r="T128" i="7"/>
  <c r="X128" i="7"/>
  <c r="AB128" i="7"/>
  <c r="AB130" i="7"/>
  <c r="AF128" i="7"/>
  <c r="AF130" i="7"/>
  <c r="E129" i="7"/>
  <c r="E130" i="7"/>
  <c r="M129" i="7"/>
  <c r="M130" i="7"/>
  <c r="Q130" i="7"/>
  <c r="Q129" i="7"/>
  <c r="Y130" i="7"/>
  <c r="Y129" i="7"/>
  <c r="AC129" i="7"/>
  <c r="AC130" i="7"/>
  <c r="F129" i="7"/>
  <c r="F130" i="7"/>
  <c r="N129" i="7"/>
  <c r="N130" i="7"/>
  <c r="V129" i="7"/>
  <c r="V130" i="7"/>
  <c r="AD129" i="7"/>
  <c r="AD130" i="7"/>
  <c r="C130" i="7"/>
  <c r="C129" i="7"/>
  <c r="G129" i="7"/>
  <c r="G130" i="7"/>
  <c r="O130" i="7"/>
  <c r="S130" i="7"/>
  <c r="S129" i="7"/>
  <c r="W129" i="7"/>
  <c r="W130" i="7"/>
  <c r="AE130" i="7"/>
  <c r="I130" i="7"/>
  <c r="I129" i="7"/>
  <c r="U130" i="7"/>
  <c r="U129" i="7"/>
  <c r="J129" i="7"/>
  <c r="J130" i="7"/>
  <c r="R129" i="7"/>
  <c r="R130" i="7"/>
  <c r="Z129" i="7"/>
  <c r="Z130" i="7"/>
  <c r="K130" i="7"/>
  <c r="K129" i="7"/>
  <c r="D130" i="7"/>
  <c r="D129" i="7"/>
  <c r="H130" i="7"/>
  <c r="H129" i="7"/>
  <c r="P129" i="7"/>
  <c r="T130" i="7"/>
  <c r="T129" i="7"/>
  <c r="X130" i="7"/>
  <c r="X129" i="7"/>
  <c r="AF129" i="7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C124" i="2"/>
  <c r="C128" i="2"/>
  <c r="E124" i="2"/>
  <c r="E128" i="2"/>
  <c r="E130" i="2"/>
  <c r="I124" i="2"/>
  <c r="I128" i="2"/>
  <c r="I130" i="2"/>
  <c r="M124" i="2"/>
  <c r="M128" i="2"/>
  <c r="M130" i="2"/>
  <c r="Q124" i="2"/>
  <c r="Q128" i="2"/>
  <c r="Q130" i="2"/>
  <c r="U124" i="2"/>
  <c r="U128" i="2"/>
  <c r="U130" i="2"/>
  <c r="Y124" i="2"/>
  <c r="Y128" i="2"/>
  <c r="Y130" i="2"/>
  <c r="AC124" i="2"/>
  <c r="AC128" i="2"/>
  <c r="AC130" i="2"/>
  <c r="D124" i="2"/>
  <c r="D128" i="2"/>
  <c r="D130" i="2"/>
  <c r="E129" i="2"/>
  <c r="F124" i="2"/>
  <c r="F128" i="2"/>
  <c r="F130" i="2"/>
  <c r="G124" i="2"/>
  <c r="G128" i="2"/>
  <c r="G130" i="2"/>
  <c r="H124" i="2"/>
  <c r="H128" i="2"/>
  <c r="H130" i="2"/>
  <c r="I129" i="2"/>
  <c r="J124" i="2"/>
  <c r="J128" i="2"/>
  <c r="J130" i="2"/>
  <c r="K124" i="2"/>
  <c r="K128" i="2"/>
  <c r="K130" i="2"/>
  <c r="L124" i="2"/>
  <c r="L128" i="2"/>
  <c r="L130" i="2"/>
  <c r="M129" i="2"/>
  <c r="N124" i="2"/>
  <c r="N128" i="2"/>
  <c r="N130" i="2"/>
  <c r="O124" i="2"/>
  <c r="O128" i="2"/>
  <c r="O130" i="2"/>
  <c r="P124" i="2"/>
  <c r="P128" i="2"/>
  <c r="P130" i="2"/>
  <c r="Q129" i="2"/>
  <c r="R124" i="2"/>
  <c r="R128" i="2"/>
  <c r="R130" i="2"/>
  <c r="S124" i="2"/>
  <c r="S128" i="2"/>
  <c r="S130" i="2"/>
  <c r="T124" i="2"/>
  <c r="T128" i="2"/>
  <c r="T130" i="2"/>
  <c r="U129" i="2"/>
  <c r="V124" i="2"/>
  <c r="V128" i="2"/>
  <c r="V130" i="2"/>
  <c r="W124" i="2"/>
  <c r="W128" i="2"/>
  <c r="W130" i="2"/>
  <c r="X124" i="2"/>
  <c r="X128" i="2"/>
  <c r="X130" i="2"/>
  <c r="Y129" i="2"/>
  <c r="Z124" i="2"/>
  <c r="Z128" i="2"/>
  <c r="Z130" i="2"/>
  <c r="AA124" i="2"/>
  <c r="AA128" i="2"/>
  <c r="AA130" i="2"/>
  <c r="AB124" i="2"/>
  <c r="AB128" i="2"/>
  <c r="AB130" i="2"/>
  <c r="AC129" i="2"/>
  <c r="AD124" i="2"/>
  <c r="AD128" i="2"/>
  <c r="AD130" i="2"/>
  <c r="AE124" i="2"/>
  <c r="AE128" i="2"/>
  <c r="AE130" i="2"/>
  <c r="AF124" i="2"/>
  <c r="AF128" i="2"/>
  <c r="AF130" i="2"/>
  <c r="C122" i="2"/>
  <c r="C126" i="2"/>
  <c r="C127" i="2"/>
  <c r="D122" i="2"/>
  <c r="D126" i="2"/>
  <c r="D127" i="2"/>
  <c r="E122" i="2"/>
  <c r="E126" i="2"/>
  <c r="E127" i="2"/>
  <c r="F122" i="2"/>
  <c r="F126" i="2"/>
  <c r="F127" i="2"/>
  <c r="G122" i="2"/>
  <c r="G126" i="2"/>
  <c r="G127" i="2"/>
  <c r="H122" i="2"/>
  <c r="H126" i="2"/>
  <c r="H127" i="2"/>
  <c r="I122" i="2"/>
  <c r="I126" i="2"/>
  <c r="I127" i="2"/>
  <c r="J122" i="2"/>
  <c r="J126" i="2"/>
  <c r="J127" i="2"/>
  <c r="K122" i="2"/>
  <c r="K126" i="2"/>
  <c r="K127" i="2"/>
  <c r="L122" i="2"/>
  <c r="L126" i="2"/>
  <c r="L127" i="2"/>
  <c r="M122" i="2"/>
  <c r="M126" i="2"/>
  <c r="M127" i="2"/>
  <c r="N122" i="2"/>
  <c r="N126" i="2"/>
  <c r="N127" i="2"/>
  <c r="O122" i="2"/>
  <c r="O126" i="2"/>
  <c r="O127" i="2"/>
  <c r="P122" i="2"/>
  <c r="P126" i="2"/>
  <c r="P127" i="2"/>
  <c r="Q122" i="2"/>
  <c r="Q126" i="2"/>
  <c r="Q127" i="2"/>
  <c r="R122" i="2"/>
  <c r="R126" i="2"/>
  <c r="R127" i="2"/>
  <c r="S122" i="2"/>
  <c r="S126" i="2"/>
  <c r="S127" i="2"/>
  <c r="T122" i="2"/>
  <c r="T126" i="2"/>
  <c r="T127" i="2"/>
  <c r="U122" i="2"/>
  <c r="U126" i="2"/>
  <c r="U127" i="2"/>
  <c r="V122" i="2"/>
  <c r="V126" i="2"/>
  <c r="V127" i="2"/>
  <c r="W122" i="2"/>
  <c r="W126" i="2"/>
  <c r="W127" i="2"/>
  <c r="X122" i="2"/>
  <c r="X126" i="2"/>
  <c r="X127" i="2"/>
  <c r="Y122" i="2"/>
  <c r="Y126" i="2"/>
  <c r="Y127" i="2"/>
  <c r="Z122" i="2"/>
  <c r="Z126" i="2"/>
  <c r="Z127" i="2"/>
  <c r="AA122" i="2"/>
  <c r="AA126" i="2"/>
  <c r="AA127" i="2"/>
  <c r="AB122" i="2"/>
  <c r="AB126" i="2"/>
  <c r="AB127" i="2"/>
  <c r="AC122" i="2"/>
  <c r="AC126" i="2"/>
  <c r="AC127" i="2"/>
  <c r="AD122" i="2"/>
  <c r="AD126" i="2"/>
  <c r="AD127" i="2"/>
  <c r="AE122" i="2"/>
  <c r="AE126" i="2"/>
  <c r="AE127" i="2"/>
  <c r="AF122" i="2"/>
  <c r="AF126" i="2"/>
  <c r="AF127" i="2"/>
  <c r="AB129" i="7"/>
  <c r="L129" i="7"/>
  <c r="AA129" i="7"/>
  <c r="B123" i="4"/>
  <c r="AF129" i="2"/>
  <c r="AB129" i="2"/>
  <c r="X129" i="2"/>
  <c r="T129" i="2"/>
  <c r="P129" i="2"/>
  <c r="L129" i="2"/>
  <c r="H129" i="2"/>
  <c r="D129" i="2"/>
  <c r="AE129" i="2"/>
  <c r="AA129" i="2"/>
  <c r="W129" i="2"/>
  <c r="S129" i="2"/>
  <c r="O129" i="2"/>
  <c r="K129" i="2"/>
  <c r="G129" i="2"/>
  <c r="AD129" i="2"/>
  <c r="Z129" i="2"/>
  <c r="V129" i="2"/>
  <c r="R129" i="2"/>
  <c r="N129" i="2"/>
  <c r="J129" i="2"/>
  <c r="F129" i="2"/>
  <c r="C130" i="2"/>
  <c r="C129" i="2"/>
  <c r="B129" i="4"/>
  <c r="B130" i="4"/>
  <c r="B124" i="4"/>
  <c r="B125" i="4"/>
  <c r="B126" i="4"/>
</calcChain>
</file>

<file path=xl/sharedStrings.xml><?xml version="1.0" encoding="utf-8"?>
<sst xmlns="http://schemas.openxmlformats.org/spreadsheetml/2006/main" count="463" uniqueCount="181">
  <si>
    <t>Difficulty Index (P)</t>
  </si>
  <si>
    <t>Discrimination Index (D)</t>
  </si>
  <si>
    <t>Student Code</t>
  </si>
  <si>
    <t>Total Score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</si>
  <si>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</si>
  <si>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</si>
  <si>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</si>
  <si>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</si>
  <si>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</si>
  <si>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</si>
  <si>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</si>
  <si>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</si>
  <si>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</si>
  <si>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</si>
  <si>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</si>
  <si>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</si>
  <si>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</si>
  <si>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</si>
  <si>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</si>
  <si>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</si>
  <si>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</si>
  <si>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</si>
  <si>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</si>
  <si>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</si>
  <si>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</si>
  <si>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</si>
  <si>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</si>
  <si>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</si>
  <si>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</si>
  <si>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</si>
  <si>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</si>
  <si>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</si>
  <si>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</si>
  <si>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</si>
  <si>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STU-028</t>
  </si>
  <si>
    <t>STU-088</t>
  </si>
  <si>
    <t>STU-114</t>
  </si>
  <si>
    <t>STU-019</t>
  </si>
  <si>
    <t>STU-108</t>
  </si>
  <si>
    <t>STU-076</t>
  </si>
  <si>
    <t>STU-046</t>
  </si>
  <si>
    <t>STU-098</t>
  </si>
  <si>
    <t>STU-005</t>
  </si>
  <si>
    <t>STU-091</t>
  </si>
  <si>
    <t>STU-085</t>
  </si>
  <si>
    <t>STU-110</t>
  </si>
  <si>
    <t>STU-043</t>
  </si>
  <si>
    <t>STU-069</t>
  </si>
  <si>
    <t>STU-014</t>
  </si>
  <si>
    <t>STU-024</t>
  </si>
  <si>
    <t>STU-086</t>
  </si>
  <si>
    <t>STU-105</t>
  </si>
  <si>
    <t>STU-119</t>
  </si>
  <si>
    <t>STU-083</t>
  </si>
  <si>
    <t>STU-049</t>
  </si>
  <si>
    <t>STU-061</t>
  </si>
  <si>
    <t>STU-057</t>
  </si>
  <si>
    <t>STU-045</t>
  </si>
  <si>
    <t>STU-082</t>
  </si>
  <si>
    <t>STU-022</t>
  </si>
  <si>
    <t>STU-009</t>
  </si>
  <si>
    <t>STU-035</t>
  </si>
  <si>
    <t>STU-070</t>
  </si>
  <si>
    <t>STU-072</t>
  </si>
  <si>
    <t>STU-054</t>
  </si>
  <si>
    <t>STU-056</t>
  </si>
  <si>
    <t>STU-060</t>
  </si>
  <si>
    <t>STU-118</t>
  </si>
  <si>
    <t>STU-095</t>
  </si>
  <si>
    <t>STU-015</t>
  </si>
  <si>
    <t>STU-102</t>
  </si>
  <si>
    <t>STU-067</t>
  </si>
  <si>
    <t>STU-080</t>
  </si>
  <si>
    <t>STU-097</t>
  </si>
  <si>
    <t>STU-059</t>
  </si>
  <si>
    <t>STU-039</t>
  </si>
  <si>
    <t>STU-090</t>
  </si>
  <si>
    <t>STU-042</t>
  </si>
  <si>
    <t>STU-089</t>
  </si>
  <si>
    <t>STU-003</t>
  </si>
  <si>
    <t>STU-004</t>
  </si>
  <si>
    <t>STU-106</t>
  </si>
  <si>
    <t>STU-050</t>
  </si>
  <si>
    <t>STU-101</t>
  </si>
  <si>
    <t>STU-017</t>
  </si>
  <si>
    <t>STU-036</t>
  </si>
  <si>
    <t>STU-071</t>
  </si>
  <si>
    <t>STU-066</t>
  </si>
  <si>
    <t>STU-063</t>
  </si>
  <si>
    <t>STU-073</t>
  </si>
  <si>
    <t>STU-096</t>
  </si>
  <si>
    <t>STU-078</t>
  </si>
  <si>
    <t>STU-120</t>
  </si>
  <si>
    <t>STU-006</t>
  </si>
  <si>
    <t>STU-032</t>
  </si>
  <si>
    <t>STU-048</t>
  </si>
  <si>
    <t>STU-001</t>
  </si>
  <si>
    <t>STU-064</t>
  </si>
  <si>
    <t>STU-111</t>
  </si>
  <si>
    <t>STU-011</t>
  </si>
  <si>
    <t>STU-079</t>
  </si>
  <si>
    <t>STU-107</t>
  </si>
  <si>
    <t>STU-041</t>
  </si>
  <si>
    <t>STU-077</t>
  </si>
  <si>
    <t>STU-037</t>
  </si>
  <si>
    <t>STU-075</t>
  </si>
  <si>
    <t>STU-016</t>
  </si>
  <si>
    <t>STU-103</t>
  </si>
  <si>
    <t>STU-027</t>
  </si>
  <si>
    <t>STU-038</t>
  </si>
  <si>
    <t>STU-040</t>
  </si>
  <si>
    <t>STU-068</t>
  </si>
  <si>
    <t>STU-029</t>
  </si>
  <si>
    <t>STU-021</t>
  </si>
  <si>
    <t>STU-007</t>
  </si>
  <si>
    <t>STU-081</t>
  </si>
  <si>
    <t>STU-051</t>
  </si>
  <si>
    <t>STU-116</t>
  </si>
  <si>
    <t>STU-074</t>
  </si>
  <si>
    <t>STU-010</t>
  </si>
  <si>
    <t>STU-117</t>
  </si>
  <si>
    <t>STU-018</t>
  </si>
  <si>
    <t>STU-025</t>
  </si>
  <si>
    <t>STU-062</t>
  </si>
  <si>
    <t>STU-031</t>
  </si>
  <si>
    <t>STU-034</t>
  </si>
  <si>
    <t>STU-092</t>
  </si>
  <si>
    <t>STU-094</t>
  </si>
  <si>
    <t>STU-115</t>
  </si>
  <si>
    <t>STU-065</t>
  </si>
  <si>
    <t>STU-047</t>
  </si>
  <si>
    <t>STU-093</t>
  </si>
  <si>
    <t>STU-020</t>
  </si>
  <si>
    <t>STU-052</t>
  </si>
  <si>
    <t>STU-099</t>
  </si>
  <si>
    <t>STU-012</t>
  </si>
  <si>
    <t>STU-058</t>
  </si>
  <si>
    <t>STU-087</t>
  </si>
  <si>
    <t>STU-109</t>
  </si>
  <si>
    <t>STU-033</t>
  </si>
  <si>
    <t>STU-044</t>
  </si>
  <si>
    <t>STU-100</t>
  </si>
  <si>
    <t>STU-112</t>
  </si>
  <si>
    <t>STU-084</t>
  </si>
  <si>
    <t>STU-030</t>
  </si>
  <si>
    <t>STU-113</t>
  </si>
  <si>
    <t>STU-026</t>
  </si>
  <si>
    <t>STU-104</t>
  </si>
  <si>
    <t>STU-053</t>
  </si>
  <si>
    <t>STU-008</t>
  </si>
  <si>
    <t>STU-002</t>
  </si>
  <si>
    <t>STU-023</t>
  </si>
  <si>
    <t>STU-013</t>
  </si>
  <si>
    <t>STU-055</t>
  </si>
  <si>
    <t>ITEM ANALYSIS &amp; PSYCHOMETRIC METRICS (UPPER / LOWER 27% RULE)</t>
  </si>
  <si>
    <t>Upper Group Correct (Ru)</t>
  </si>
  <si>
    <t>Lower Group Correct (Rl)</t>
  </si>
  <si>
    <t>Difficulty Level</t>
  </si>
  <si>
    <t>Discrimination Quality</t>
  </si>
  <si>
    <t>Recommended Action</t>
  </si>
  <si>
    <t>Difficulty</t>
  </si>
  <si>
    <t>Number</t>
  </si>
  <si>
    <t>Discrimination</t>
  </si>
  <si>
    <t>Easy</t>
  </si>
  <si>
    <t>Average</t>
  </si>
  <si>
    <t>Difficult</t>
  </si>
  <si>
    <t>Questionable</t>
  </si>
  <si>
    <t>Non-Discriminating</t>
  </si>
  <si>
    <t>Discriminating</t>
  </si>
  <si>
    <t>Pre-Test</t>
  </si>
  <si>
    <t>Post-Test</t>
  </si>
  <si>
    <t>Action</t>
  </si>
  <si>
    <t xml:space="preserve">Comptency 1 Items 1-10 </t>
  </si>
  <si>
    <t>Competency 2 items 11-20</t>
  </si>
  <si>
    <t>Competency 3 Items 21-30</t>
  </si>
  <si>
    <t>C1 AND C2</t>
  </si>
  <si>
    <t>C2 AND C3</t>
  </si>
  <si>
    <t>Pre-test and Post -Test</t>
  </si>
  <si>
    <t>Interpretation For Pre-test and Post-Test</t>
  </si>
  <si>
    <t>C1 AND C3</t>
  </si>
  <si>
    <t>The questions from the pre-test did not deviate much from the questions of the  post-test which means that the questions are valid. This means that  the post-test can truly measure the learning of the students and the decision is to retain said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</si>
</sst>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theme="0" tint="-4.9989318521683403E-2"/>
      <name val="Calibri (Body)"/>
    </font>
    <font>
      <sz val="11"/>
      <color theme="0" tint="-4.9989318521683403E-2"/>
      <name val="Calibri (Body)"/>
    </font>
    <font>
      <b/>
      <sz val="11"/>
      <color theme="1"/>
      <name val="Calibri"/>
      <family val="2"/>
      <scheme val="minor"/>
    </font>
    <font>
      <sz val="10"/>
      <name val="Calibri (Body)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49" fontId="5" fillId="0" borderId="1" xfId="0" applyNumberFormat="1" applyFont="1" applyBorder="1" applyAlignment="1">
      <alignment horizontal="center" vertical="center"/>
    </xf>
    <xf numFmtId="0" fontId="6" fillId="7" borderId="0" xfId="0" applyFont="1" applyFill="1"/>
    <xf numFmtId="0" fontId="3" fillId="0" borderId="4" xfId="0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1"/>
  <sheetViews>
    <sheetView zoomScale="80" zoomScaleNormal="80" workbookViewId="0">
      <selection activeCell="C2" sqref="C2"/>
    </sheetView>
  </sheetViews>
  <sheetFormatPr defaultColWidth="8.88671875" defaultRowHeight="14.4"/>
  <cols>
    <col min="1" max="1" width="16.44140625" customWidth="1"/>
    <col min="2" max="2" width="9.44140625" customWidth="1"/>
    <col min="3" max="5" width="16.109375" customWidth="1"/>
    <col min="6" max="7" width="12.33203125" customWidth="1"/>
    <col min="8" max="9" width="16.109375" customWidth="1"/>
    <col min="10" max="11" width="12.33203125" customWidth="1"/>
    <col min="12" max="12" width="16.109375" customWidth="1"/>
    <col min="13" max="27" width="12.33203125" customWidth="1"/>
    <col min="28" max="32" width="16.109375" customWidth="1"/>
  </cols>
  <sheetData>
    <row r="1" spans="1:32" ht="27.9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ht="18" customHeight="1">
      <c r="A2" s="2" t="s">
        <v>34</v>
      </c>
      <c r="B2" s="3">
        <v>30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</row>
    <row r="3" spans="1:32" ht="18" customHeight="1">
      <c r="A3" s="2" t="s">
        <v>37</v>
      </c>
      <c r="B3" s="3">
        <f t="shared" ref="B3:B34" si="0">SUM(C3:AF3)</f>
        <v>27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0</v>
      </c>
      <c r="AC3" s="2">
        <v>1</v>
      </c>
      <c r="AD3" s="2">
        <v>1</v>
      </c>
      <c r="AE3" s="2">
        <v>1</v>
      </c>
      <c r="AF3" s="2">
        <v>0</v>
      </c>
    </row>
    <row r="4" spans="1:32" ht="18" customHeight="1">
      <c r="A4" s="2" t="s">
        <v>35</v>
      </c>
      <c r="B4" s="3">
        <f t="shared" si="0"/>
        <v>27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  <c r="AF4" s="2">
        <v>1</v>
      </c>
    </row>
    <row r="5" spans="1:32" ht="18" customHeight="1">
      <c r="A5" s="2" t="s">
        <v>36</v>
      </c>
      <c r="B5" s="3">
        <f t="shared" si="0"/>
        <v>27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0</v>
      </c>
      <c r="AF5" s="2">
        <v>1</v>
      </c>
    </row>
    <row r="6" spans="1:32" ht="18" customHeight="1">
      <c r="A6" s="2" t="s">
        <v>40</v>
      </c>
      <c r="B6" s="3">
        <f t="shared" si="0"/>
        <v>26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1</v>
      </c>
      <c r="AD6" s="2">
        <v>0</v>
      </c>
      <c r="AE6" s="2">
        <v>1</v>
      </c>
      <c r="AF6" s="2">
        <v>1</v>
      </c>
    </row>
    <row r="7" spans="1:32" ht="18" customHeight="1">
      <c r="A7" s="2" t="s">
        <v>39</v>
      </c>
      <c r="B7" s="3">
        <f t="shared" si="0"/>
        <v>26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0</v>
      </c>
      <c r="W7" s="2">
        <v>1</v>
      </c>
      <c r="X7" s="2">
        <v>0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0</v>
      </c>
    </row>
    <row r="8" spans="1:32" ht="18" customHeight="1">
      <c r="A8" s="2" t="s">
        <v>38</v>
      </c>
      <c r="B8" s="3">
        <f t="shared" si="0"/>
        <v>26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0</v>
      </c>
      <c r="AF8" s="2">
        <v>1</v>
      </c>
    </row>
    <row r="9" spans="1:32" ht="18" customHeight="1">
      <c r="A9" s="2" t="s">
        <v>42</v>
      </c>
      <c r="B9" s="3">
        <f t="shared" si="0"/>
        <v>25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0</v>
      </c>
      <c r="Z9" s="2">
        <v>1</v>
      </c>
      <c r="AA9" s="2">
        <v>1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</row>
    <row r="10" spans="1:32" ht="18" customHeight="1">
      <c r="A10" s="2" t="s">
        <v>43</v>
      </c>
      <c r="B10" s="3">
        <f t="shared" si="0"/>
        <v>25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0</v>
      </c>
      <c r="AE10" s="2">
        <v>0</v>
      </c>
      <c r="AF10" s="2">
        <v>0</v>
      </c>
    </row>
    <row r="11" spans="1:32" ht="18" customHeight="1">
      <c r="A11" s="2" t="s">
        <v>41</v>
      </c>
      <c r="B11" s="3">
        <f t="shared" si="0"/>
        <v>25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 s="2">
        <v>0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0</v>
      </c>
      <c r="AF11" s="2">
        <v>1</v>
      </c>
    </row>
    <row r="12" spans="1:32" ht="18" customHeight="1">
      <c r="A12" s="2" t="s">
        <v>48</v>
      </c>
      <c r="B12" s="3">
        <f t="shared" si="0"/>
        <v>23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1</v>
      </c>
      <c r="AF12" s="2">
        <v>0</v>
      </c>
    </row>
    <row r="13" spans="1:32" ht="18" customHeight="1">
      <c r="A13" s="2" t="s">
        <v>46</v>
      </c>
      <c r="B13" s="3">
        <f t="shared" si="0"/>
        <v>23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</row>
    <row r="14" spans="1:32" ht="18" customHeight="1">
      <c r="A14" s="2" t="s">
        <v>47</v>
      </c>
      <c r="B14" s="3">
        <f t="shared" si="0"/>
        <v>23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0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0</v>
      </c>
    </row>
    <row r="15" spans="1:32" ht="18" customHeight="1">
      <c r="A15" s="2" t="s">
        <v>44</v>
      </c>
      <c r="B15" s="3">
        <f t="shared" si="0"/>
        <v>23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  <c r="X15" s="2">
        <v>1</v>
      </c>
      <c r="Y15" s="2">
        <v>0</v>
      </c>
      <c r="Z15" s="2">
        <v>1</v>
      </c>
      <c r="AA15" s="2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</row>
    <row r="16" spans="1:32" ht="18" customHeight="1">
      <c r="A16" s="2" t="s">
        <v>45</v>
      </c>
      <c r="B16" s="3">
        <f t="shared" si="0"/>
        <v>23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8" customHeight="1">
      <c r="A17" s="2" t="s">
        <v>49</v>
      </c>
      <c r="B17" s="3">
        <f t="shared" si="0"/>
        <v>22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8" customHeight="1">
      <c r="A18" s="2" t="s">
        <v>50</v>
      </c>
      <c r="B18" s="3">
        <f t="shared" si="0"/>
        <v>22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</row>
    <row r="19" spans="1:32" ht="18" customHeight="1">
      <c r="A19" s="2" t="s">
        <v>51</v>
      </c>
      <c r="B19" s="3">
        <f t="shared" si="0"/>
        <v>22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0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</row>
    <row r="20" spans="1:32" ht="18" customHeight="1">
      <c r="A20" s="2" t="s">
        <v>52</v>
      </c>
      <c r="B20" s="3">
        <f t="shared" si="0"/>
        <v>22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1</v>
      </c>
      <c r="Q20" s="2">
        <v>1</v>
      </c>
      <c r="R20" s="2">
        <v>1</v>
      </c>
      <c r="S20" s="2">
        <v>0</v>
      </c>
      <c r="T20" s="2">
        <v>1</v>
      </c>
      <c r="U20" s="2">
        <v>1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1</v>
      </c>
      <c r="AC20" s="2">
        <v>0</v>
      </c>
      <c r="AD20" s="2">
        <v>1</v>
      </c>
      <c r="AE20" s="2">
        <v>0</v>
      </c>
      <c r="AF20" s="2">
        <v>0</v>
      </c>
    </row>
    <row r="21" spans="1:32" ht="18" customHeight="1">
      <c r="A21" s="2" t="s">
        <v>57</v>
      </c>
      <c r="B21" s="3">
        <f t="shared" si="0"/>
        <v>21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0</v>
      </c>
      <c r="U21" s="2">
        <v>0</v>
      </c>
      <c r="V21" s="2">
        <v>1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1</v>
      </c>
      <c r="AF21" s="2">
        <v>0</v>
      </c>
    </row>
    <row r="22" spans="1:32" ht="18" customHeight="1">
      <c r="A22" s="2" t="s">
        <v>54</v>
      </c>
      <c r="B22" s="3">
        <f t="shared" si="0"/>
        <v>21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</row>
    <row r="23" spans="1:32" ht="18" customHeight="1">
      <c r="A23" s="2" t="s">
        <v>56</v>
      </c>
      <c r="B23" s="3">
        <f t="shared" si="0"/>
        <v>21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0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8" customHeight="1">
      <c r="A24" s="2" t="s">
        <v>55</v>
      </c>
      <c r="B24" s="3">
        <f t="shared" si="0"/>
        <v>21</v>
      </c>
      <c r="C24" s="2">
        <v>1</v>
      </c>
      <c r="D24" s="2">
        <v>1</v>
      </c>
      <c r="E24" s="2">
        <v>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</row>
    <row r="25" spans="1:32" ht="18" customHeight="1">
      <c r="A25" s="2" t="s">
        <v>58</v>
      </c>
      <c r="B25" s="3">
        <f t="shared" si="0"/>
        <v>21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0</v>
      </c>
      <c r="U25" s="2">
        <v>0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1</v>
      </c>
      <c r="AC25" s="2">
        <v>0</v>
      </c>
      <c r="AD25" s="2">
        <v>0</v>
      </c>
      <c r="AE25" s="2">
        <v>0</v>
      </c>
      <c r="AF25" s="2">
        <v>0</v>
      </c>
    </row>
    <row r="26" spans="1:32" ht="18" customHeight="1">
      <c r="A26" s="2" t="s">
        <v>53</v>
      </c>
      <c r="B26" s="3">
        <f t="shared" si="0"/>
        <v>21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1</v>
      </c>
      <c r="Q26" s="2">
        <v>0</v>
      </c>
      <c r="R26" s="2">
        <v>1</v>
      </c>
      <c r="S26" s="2">
        <v>1</v>
      </c>
      <c r="T26" s="2">
        <v>1</v>
      </c>
      <c r="U26" s="2">
        <v>1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1</v>
      </c>
      <c r="AB26" s="2">
        <v>1</v>
      </c>
      <c r="AC26" s="2">
        <v>1</v>
      </c>
      <c r="AD26" s="2">
        <v>0</v>
      </c>
      <c r="AE26" s="2">
        <v>0</v>
      </c>
      <c r="AF26" s="2">
        <v>0</v>
      </c>
    </row>
    <row r="27" spans="1:32" ht="18" customHeight="1">
      <c r="A27" s="2" t="s">
        <v>60</v>
      </c>
      <c r="B27" s="3">
        <f t="shared" si="0"/>
        <v>20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0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  <c r="AF27" s="2">
        <v>0</v>
      </c>
    </row>
    <row r="28" spans="1:32" ht="18" customHeight="1">
      <c r="A28" s="2" t="s">
        <v>59</v>
      </c>
      <c r="B28" s="3">
        <f t="shared" si="0"/>
        <v>20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0</v>
      </c>
      <c r="S28" s="2">
        <v>0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8" customHeight="1">
      <c r="A29" s="2" t="s">
        <v>61</v>
      </c>
      <c r="B29" s="3">
        <f t="shared" si="0"/>
        <v>20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</row>
    <row r="30" spans="1:32" ht="18" customHeight="1">
      <c r="A30" s="2" t="s">
        <v>64</v>
      </c>
      <c r="B30" s="3">
        <f t="shared" si="0"/>
        <v>19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0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8" customHeight="1">
      <c r="A31" s="2" t="s">
        <v>65</v>
      </c>
      <c r="B31" s="3">
        <f t="shared" si="0"/>
        <v>19</v>
      </c>
      <c r="C31" s="2">
        <v>1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0</v>
      </c>
      <c r="V31" s="2">
        <v>1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</row>
    <row r="32" spans="1:32" ht="18" customHeight="1">
      <c r="A32" s="2" t="s">
        <v>66</v>
      </c>
      <c r="B32" s="3">
        <f t="shared" si="0"/>
        <v>19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0</v>
      </c>
      <c r="P32" s="2">
        <v>1</v>
      </c>
      <c r="Q32" s="2">
        <v>1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1</v>
      </c>
      <c r="AD32" s="2">
        <v>0</v>
      </c>
      <c r="AE32" s="2">
        <v>1</v>
      </c>
      <c r="AF32" s="2">
        <v>0</v>
      </c>
    </row>
    <row r="33" spans="1:32" ht="18" customHeight="1">
      <c r="A33" s="2" t="s">
        <v>62</v>
      </c>
      <c r="B33" s="3">
        <f t="shared" si="0"/>
        <v>19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1</v>
      </c>
      <c r="P33" s="2">
        <v>0</v>
      </c>
      <c r="Q33" s="2">
        <v>1</v>
      </c>
      <c r="R33" s="2">
        <v>1</v>
      </c>
      <c r="S33" s="2">
        <v>0</v>
      </c>
      <c r="T33" s="2">
        <v>1</v>
      </c>
      <c r="U33" s="2">
        <v>1</v>
      </c>
      <c r="V33" s="2">
        <v>0</v>
      </c>
      <c r="W33" s="2">
        <v>1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</row>
    <row r="34" spans="1:32" ht="18" customHeight="1">
      <c r="A34" s="2" t="s">
        <v>63</v>
      </c>
      <c r="B34" s="3">
        <f t="shared" si="0"/>
        <v>19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1</v>
      </c>
      <c r="Z34" s="2">
        <v>0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</row>
    <row r="35" spans="1:32" ht="18" customHeight="1">
      <c r="A35" s="2" t="s">
        <v>68</v>
      </c>
      <c r="B35" s="3">
        <f t="shared" ref="B35:B66" si="1">SUM(C35:AF35)</f>
        <v>19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</v>
      </c>
      <c r="N35" s="2">
        <v>1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0</v>
      </c>
      <c r="AF35" s="2">
        <v>0</v>
      </c>
    </row>
    <row r="36" spans="1:32" ht="18" customHeight="1">
      <c r="A36" s="2" t="s">
        <v>67</v>
      </c>
      <c r="B36" s="3">
        <f t="shared" si="1"/>
        <v>19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0</v>
      </c>
      <c r="S36" s="2">
        <v>1</v>
      </c>
      <c r="T36" s="2">
        <v>1</v>
      </c>
      <c r="U36" s="2">
        <v>1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</row>
    <row r="37" spans="1:32" ht="18" customHeight="1">
      <c r="A37" s="2" t="s">
        <v>69</v>
      </c>
      <c r="B37" s="3">
        <f t="shared" si="1"/>
        <v>18</v>
      </c>
      <c r="C37" s="2">
        <v>1</v>
      </c>
      <c r="D37" s="2">
        <v>1</v>
      </c>
      <c r="E37" s="2">
        <v>1</v>
      </c>
      <c r="F37" s="2">
        <v>0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0</v>
      </c>
      <c r="U37" s="2">
        <v>1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</row>
    <row r="38" spans="1:32" ht="18" customHeight="1">
      <c r="A38" s="2" t="s">
        <v>75</v>
      </c>
      <c r="B38" s="3">
        <f t="shared" si="1"/>
        <v>18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</row>
    <row r="39" spans="1:32" ht="18" customHeight="1">
      <c r="A39" s="2" t="s">
        <v>74</v>
      </c>
      <c r="B39" s="3">
        <f t="shared" si="1"/>
        <v>18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2" ht="18" customHeight="1">
      <c r="A40" s="2" t="s">
        <v>71</v>
      </c>
      <c r="B40" s="3">
        <f t="shared" si="1"/>
        <v>18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1</v>
      </c>
      <c r="AA40" s="2">
        <v>1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</row>
    <row r="41" spans="1:32" ht="18" customHeight="1">
      <c r="A41" s="2" t="s">
        <v>72</v>
      </c>
      <c r="B41" s="3">
        <f t="shared" si="1"/>
        <v>18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0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1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1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</row>
    <row r="42" spans="1:32" ht="18" customHeight="1">
      <c r="A42" s="2" t="s">
        <v>76</v>
      </c>
      <c r="B42" s="3">
        <f t="shared" si="1"/>
        <v>18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0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0</v>
      </c>
      <c r="V42" s="2">
        <v>0</v>
      </c>
      <c r="W42" s="2">
        <v>1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</row>
    <row r="43" spans="1:32" ht="18" customHeight="1">
      <c r="A43" s="2" t="s">
        <v>73</v>
      </c>
      <c r="B43" s="3">
        <f t="shared" si="1"/>
        <v>18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</row>
    <row r="44" spans="1:32" ht="18" customHeight="1">
      <c r="A44" s="2" t="s">
        <v>70</v>
      </c>
      <c r="B44" s="3">
        <f t="shared" si="1"/>
        <v>18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0</v>
      </c>
      <c r="I44" s="2">
        <v>1</v>
      </c>
      <c r="J44" s="2">
        <v>0</v>
      </c>
      <c r="K44" s="2">
        <v>1</v>
      </c>
      <c r="L44" s="2">
        <v>1</v>
      </c>
      <c r="M44" s="2">
        <v>1</v>
      </c>
      <c r="N44" s="2">
        <v>0</v>
      </c>
      <c r="O44" s="2">
        <v>1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0</v>
      </c>
      <c r="X44" s="2">
        <v>0</v>
      </c>
      <c r="Y44" s="2">
        <v>1</v>
      </c>
      <c r="Z44" s="2">
        <v>1</v>
      </c>
      <c r="AA44" s="2">
        <v>1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</row>
    <row r="45" spans="1:32" ht="18" customHeight="1">
      <c r="A45" s="2" t="s">
        <v>79</v>
      </c>
      <c r="B45" s="3">
        <f t="shared" si="1"/>
        <v>17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1</v>
      </c>
      <c r="AE45" s="2">
        <v>0</v>
      </c>
      <c r="AF45" s="2">
        <v>0</v>
      </c>
    </row>
    <row r="46" spans="1:32" ht="18" customHeight="1">
      <c r="A46" s="2" t="s">
        <v>80</v>
      </c>
      <c r="B46" s="3">
        <f t="shared" si="1"/>
        <v>17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</row>
    <row r="47" spans="1:32" ht="18" customHeight="1">
      <c r="A47" s="2" t="s">
        <v>84</v>
      </c>
      <c r="B47" s="3">
        <f t="shared" si="1"/>
        <v>17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1</v>
      </c>
      <c r="S47" s="2">
        <v>1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0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</row>
    <row r="48" spans="1:32" ht="18" customHeight="1">
      <c r="A48" s="2" t="s">
        <v>85</v>
      </c>
      <c r="B48" s="3">
        <f t="shared" si="1"/>
        <v>17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0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</row>
    <row r="49" spans="1:32" ht="18" customHeight="1">
      <c r="A49" s="2" t="s">
        <v>77</v>
      </c>
      <c r="B49" s="3">
        <f t="shared" si="1"/>
        <v>17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0</v>
      </c>
      <c r="O49" s="2">
        <v>1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1</v>
      </c>
      <c r="X49" s="2">
        <v>1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</row>
    <row r="50" spans="1:32" ht="18" customHeight="1">
      <c r="A50" s="2" t="s">
        <v>82</v>
      </c>
      <c r="B50" s="3">
        <f t="shared" si="1"/>
        <v>17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0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1</v>
      </c>
      <c r="W50" s="2">
        <v>0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</row>
    <row r="51" spans="1:32" ht="18" customHeight="1">
      <c r="A51" s="2" t="s">
        <v>78</v>
      </c>
      <c r="B51" s="3">
        <f t="shared" si="1"/>
        <v>17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0</v>
      </c>
      <c r="AE51" s="2">
        <v>0</v>
      </c>
      <c r="AF51" s="2">
        <v>0</v>
      </c>
    </row>
    <row r="52" spans="1:32" ht="18" customHeight="1">
      <c r="A52" s="2" t="s">
        <v>83</v>
      </c>
      <c r="B52" s="3">
        <f t="shared" si="1"/>
        <v>17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  <c r="T52" s="2">
        <v>1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</row>
    <row r="53" spans="1:32" ht="18" customHeight="1">
      <c r="A53" s="2" t="s">
        <v>81</v>
      </c>
      <c r="B53" s="3">
        <f t="shared" si="1"/>
        <v>17</v>
      </c>
      <c r="C53" s="2">
        <v>1</v>
      </c>
      <c r="D53" s="2">
        <v>1</v>
      </c>
      <c r="E53" s="2">
        <v>1</v>
      </c>
      <c r="F53" s="2">
        <v>0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0</v>
      </c>
      <c r="Q53" s="2">
        <v>1</v>
      </c>
      <c r="R53" s="2">
        <v>1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0</v>
      </c>
      <c r="AF53" s="2">
        <v>0</v>
      </c>
    </row>
    <row r="54" spans="1:32" ht="18" customHeight="1">
      <c r="A54" s="2" t="s">
        <v>93</v>
      </c>
      <c r="B54" s="3">
        <f t="shared" si="1"/>
        <v>16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0</v>
      </c>
      <c r="I54" s="2">
        <v>1</v>
      </c>
      <c r="J54" s="2">
        <v>1</v>
      </c>
      <c r="K54" s="2">
        <v>1</v>
      </c>
      <c r="L54" s="2">
        <v>0</v>
      </c>
      <c r="M54" s="2">
        <v>1</v>
      </c>
      <c r="N54" s="2">
        <v>1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1</v>
      </c>
      <c r="W54" s="2">
        <v>0</v>
      </c>
      <c r="X54" s="2">
        <v>0</v>
      </c>
      <c r="Y54" s="2">
        <v>1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</row>
    <row r="55" spans="1:32" ht="18" customHeight="1">
      <c r="A55" s="2" t="s">
        <v>94</v>
      </c>
      <c r="B55" s="3">
        <f t="shared" si="1"/>
        <v>16</v>
      </c>
      <c r="C55" s="2">
        <v>1</v>
      </c>
      <c r="D55" s="2">
        <v>1</v>
      </c>
      <c r="E55" s="2">
        <v>1</v>
      </c>
      <c r="F55" s="2">
        <v>0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0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</row>
    <row r="56" spans="1:32" ht="18" customHeight="1">
      <c r="A56" s="2" t="s">
        <v>95</v>
      </c>
      <c r="B56" s="3">
        <f t="shared" si="1"/>
        <v>16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0</v>
      </c>
      <c r="P56" s="2">
        <v>1</v>
      </c>
      <c r="Q56" s="2">
        <v>0</v>
      </c>
      <c r="R56" s="2">
        <v>1</v>
      </c>
      <c r="S56" s="2">
        <v>1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</row>
    <row r="57" spans="1:32" ht="18" customHeight="1">
      <c r="A57" s="2" t="s">
        <v>88</v>
      </c>
      <c r="B57" s="3">
        <f t="shared" si="1"/>
        <v>16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0</v>
      </c>
      <c r="AE57" s="2">
        <v>0</v>
      </c>
      <c r="AF57" s="2">
        <v>0</v>
      </c>
    </row>
    <row r="58" spans="1:32" ht="18" customHeight="1">
      <c r="A58" s="2" t="s">
        <v>87</v>
      </c>
      <c r="B58" s="3">
        <f t="shared" si="1"/>
        <v>16</v>
      </c>
      <c r="C58" s="2">
        <v>1</v>
      </c>
      <c r="D58" s="2">
        <v>0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0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1</v>
      </c>
      <c r="Q58" s="2">
        <v>1</v>
      </c>
      <c r="R58" s="2">
        <v>1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0</v>
      </c>
      <c r="AD58" s="2">
        <v>0</v>
      </c>
      <c r="AE58" s="2">
        <v>1</v>
      </c>
      <c r="AF58" s="2">
        <v>0</v>
      </c>
    </row>
    <row r="59" spans="1:32" ht="18" customHeight="1">
      <c r="A59" s="2" t="s">
        <v>86</v>
      </c>
      <c r="B59" s="3">
        <f t="shared" si="1"/>
        <v>16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</row>
    <row r="60" spans="1:32" ht="18" customHeight="1">
      <c r="A60" s="2" t="s">
        <v>89</v>
      </c>
      <c r="B60" s="3">
        <f t="shared" si="1"/>
        <v>16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</row>
    <row r="61" spans="1:32" ht="18" customHeight="1">
      <c r="A61" s="2" t="s">
        <v>91</v>
      </c>
      <c r="B61" s="3">
        <f t="shared" si="1"/>
        <v>16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1</v>
      </c>
      <c r="Y61" s="2">
        <v>0</v>
      </c>
      <c r="Z61" s="2">
        <v>0</v>
      </c>
      <c r="AA61" s="2">
        <v>0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</row>
    <row r="62" spans="1:32" ht="18" customHeight="1">
      <c r="A62" s="2" t="s">
        <v>90</v>
      </c>
      <c r="B62" s="3">
        <f t="shared" si="1"/>
        <v>16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1</v>
      </c>
      <c r="R62" s="2">
        <v>0</v>
      </c>
      <c r="S62" s="2">
        <v>1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0</v>
      </c>
    </row>
    <row r="63" spans="1:32" ht="18" customHeight="1">
      <c r="A63" s="2" t="s">
        <v>92</v>
      </c>
      <c r="B63" s="3">
        <f t="shared" si="1"/>
        <v>16</v>
      </c>
      <c r="C63" s="2">
        <v>1</v>
      </c>
      <c r="D63" s="2">
        <v>0</v>
      </c>
      <c r="E63" s="2">
        <v>1</v>
      </c>
      <c r="F63" s="2">
        <v>1</v>
      </c>
      <c r="G63" s="2">
        <v>1</v>
      </c>
      <c r="H63" s="2">
        <v>0</v>
      </c>
      <c r="I63" s="2">
        <v>1</v>
      </c>
      <c r="J63" s="2">
        <v>1</v>
      </c>
      <c r="K63" s="2">
        <v>1</v>
      </c>
      <c r="L63" s="2">
        <v>1</v>
      </c>
      <c r="M63" s="2">
        <v>0</v>
      </c>
      <c r="N63" s="2">
        <v>0</v>
      </c>
      <c r="O63" s="2">
        <v>1</v>
      </c>
      <c r="P63" s="2">
        <v>1</v>
      </c>
      <c r="Q63" s="2">
        <v>1</v>
      </c>
      <c r="R63" s="2">
        <v>0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</row>
    <row r="64" spans="1:32" ht="18" customHeight="1">
      <c r="A64" s="2" t="s">
        <v>96</v>
      </c>
      <c r="B64" s="3">
        <f t="shared" si="1"/>
        <v>15</v>
      </c>
      <c r="C64" s="2">
        <v>0</v>
      </c>
      <c r="D64" s="2">
        <v>1</v>
      </c>
      <c r="E64" s="2">
        <v>1</v>
      </c>
      <c r="F64" s="2">
        <v>1</v>
      </c>
      <c r="G64" s="2">
        <v>1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1</v>
      </c>
      <c r="V64" s="2">
        <v>1</v>
      </c>
      <c r="W64" s="2">
        <v>0</v>
      </c>
      <c r="X64" s="2">
        <v>1</v>
      </c>
      <c r="Y64" s="2">
        <v>0</v>
      </c>
      <c r="Z64" s="2">
        <v>0</v>
      </c>
      <c r="AA64" s="2">
        <v>1</v>
      </c>
      <c r="AB64" s="2">
        <v>0</v>
      </c>
      <c r="AC64" s="2">
        <v>1</v>
      </c>
      <c r="AD64" s="2">
        <v>0</v>
      </c>
      <c r="AE64" s="2">
        <v>0</v>
      </c>
      <c r="AF64" s="2">
        <v>0</v>
      </c>
    </row>
    <row r="65" spans="1:32" ht="18" customHeight="1">
      <c r="A65" s="2" t="s">
        <v>99</v>
      </c>
      <c r="B65" s="3">
        <f t="shared" si="1"/>
        <v>15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</row>
    <row r="66" spans="1:32" ht="18" customHeight="1">
      <c r="A66" s="2" t="s">
        <v>104</v>
      </c>
      <c r="B66" s="3">
        <f t="shared" si="1"/>
        <v>15</v>
      </c>
      <c r="C66" s="2">
        <v>1</v>
      </c>
      <c r="D66" s="2">
        <v>1</v>
      </c>
      <c r="E66" s="2">
        <v>1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2">
        <v>0</v>
      </c>
    </row>
    <row r="67" spans="1:32" ht="18" customHeight="1">
      <c r="A67" s="2" t="s">
        <v>102</v>
      </c>
      <c r="B67" s="3">
        <f t="shared" ref="B67:B98" si="2">SUM(C67:AF67)</f>
        <v>15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  <c r="AF67" s="2">
        <v>0</v>
      </c>
    </row>
    <row r="68" spans="1:32" ht="18" customHeight="1">
      <c r="A68" s="2" t="s">
        <v>97</v>
      </c>
      <c r="B68" s="3">
        <f t="shared" si="2"/>
        <v>15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</row>
    <row r="69" spans="1:32" ht="18" customHeight="1">
      <c r="A69" s="2" t="s">
        <v>105</v>
      </c>
      <c r="B69" s="3">
        <f t="shared" si="2"/>
        <v>15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</row>
    <row r="70" spans="1:32" ht="18" customHeight="1">
      <c r="A70" s="2" t="s">
        <v>103</v>
      </c>
      <c r="B70" s="3">
        <f t="shared" si="2"/>
        <v>15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1</v>
      </c>
      <c r="S70" s="2">
        <v>1</v>
      </c>
      <c r="T70" s="2">
        <v>1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</row>
    <row r="71" spans="1:32" ht="18" customHeight="1">
      <c r="A71" s="2" t="s">
        <v>100</v>
      </c>
      <c r="B71" s="3">
        <f t="shared" si="2"/>
        <v>15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1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</row>
    <row r="72" spans="1:32" ht="18" customHeight="1">
      <c r="A72" s="2" t="s">
        <v>101</v>
      </c>
      <c r="B72" s="3">
        <f t="shared" si="2"/>
        <v>15</v>
      </c>
      <c r="C72" s="2">
        <v>1</v>
      </c>
      <c r="D72" s="2">
        <v>1</v>
      </c>
      <c r="E72" s="2">
        <v>0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1</v>
      </c>
      <c r="T72" s="2">
        <v>0</v>
      </c>
      <c r="U72" s="2">
        <v>0</v>
      </c>
      <c r="V72" s="2">
        <v>1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2" ht="18" customHeight="1">
      <c r="A73" s="2" t="s">
        <v>98</v>
      </c>
      <c r="B73" s="3">
        <f t="shared" si="2"/>
        <v>15</v>
      </c>
      <c r="C73" s="2">
        <v>1</v>
      </c>
      <c r="D73" s="2">
        <v>0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0</v>
      </c>
      <c r="M73" s="2">
        <v>0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1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</row>
    <row r="74" spans="1:32" ht="18" customHeight="1">
      <c r="A74" s="2" t="s">
        <v>106</v>
      </c>
      <c r="B74" s="3">
        <f t="shared" si="2"/>
        <v>14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</row>
    <row r="75" spans="1:32" ht="18" customHeight="1">
      <c r="A75" s="2" t="s">
        <v>108</v>
      </c>
      <c r="B75" s="3">
        <f t="shared" si="2"/>
        <v>14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1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</row>
    <row r="76" spans="1:32" ht="18" customHeight="1">
      <c r="A76" s="2" t="s">
        <v>109</v>
      </c>
      <c r="B76" s="3">
        <f t="shared" si="2"/>
        <v>14</v>
      </c>
      <c r="C76" s="2">
        <v>1</v>
      </c>
      <c r="D76" s="2">
        <v>1</v>
      </c>
      <c r="E76" s="2">
        <v>1</v>
      </c>
      <c r="F76" s="2">
        <v>1</v>
      </c>
      <c r="G76" s="2">
        <v>0</v>
      </c>
      <c r="H76" s="2">
        <v>1</v>
      </c>
      <c r="I76" s="2">
        <v>0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</row>
    <row r="77" spans="1:32" ht="18" customHeight="1">
      <c r="A77" s="2" t="s">
        <v>110</v>
      </c>
      <c r="B77" s="3">
        <f t="shared" si="2"/>
        <v>14</v>
      </c>
      <c r="C77" s="2">
        <v>0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0</v>
      </c>
      <c r="K77" s="2">
        <v>1</v>
      </c>
      <c r="L77" s="2">
        <v>1</v>
      </c>
      <c r="M77" s="2">
        <v>1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1</v>
      </c>
      <c r="U77" s="2">
        <v>1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</row>
    <row r="78" spans="1:32" ht="18" customHeight="1">
      <c r="A78" s="2" t="s">
        <v>107</v>
      </c>
      <c r="B78" s="3">
        <f t="shared" si="2"/>
        <v>14</v>
      </c>
      <c r="C78" s="2">
        <v>1</v>
      </c>
      <c r="D78" s="2">
        <v>1</v>
      </c>
      <c r="E78" s="2">
        <v>1</v>
      </c>
      <c r="F78" s="2">
        <v>0</v>
      </c>
      <c r="G78" s="2">
        <v>1</v>
      </c>
      <c r="H78" s="2">
        <v>1</v>
      </c>
      <c r="I78" s="2">
        <v>1</v>
      </c>
      <c r="J78" s="2">
        <v>1</v>
      </c>
      <c r="K78" s="2">
        <v>0</v>
      </c>
      <c r="L78" s="2">
        <v>1</v>
      </c>
      <c r="M78" s="2">
        <v>1</v>
      </c>
      <c r="N78" s="2">
        <v>0</v>
      </c>
      <c r="O78" s="2">
        <v>1</v>
      </c>
      <c r="P78" s="2">
        <v>0</v>
      </c>
      <c r="Q78" s="2">
        <v>1</v>
      </c>
      <c r="R78" s="2">
        <v>1</v>
      </c>
      <c r="S78" s="2">
        <v>0</v>
      </c>
      <c r="T78" s="2">
        <v>0</v>
      </c>
      <c r="U78" s="2">
        <v>0</v>
      </c>
      <c r="V78" s="2">
        <v>1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</row>
    <row r="79" spans="1:32" ht="18" customHeight="1">
      <c r="A79" s="2" t="s">
        <v>113</v>
      </c>
      <c r="B79" s="3">
        <f t="shared" si="2"/>
        <v>13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</row>
    <row r="80" spans="1:32" ht="18" customHeight="1">
      <c r="A80" s="2" t="s">
        <v>112</v>
      </c>
      <c r="B80" s="3">
        <f t="shared" si="2"/>
        <v>13</v>
      </c>
      <c r="C80" s="2">
        <v>1</v>
      </c>
      <c r="D80" s="2">
        <v>1</v>
      </c>
      <c r="E80" s="2">
        <v>1</v>
      </c>
      <c r="F80" s="2">
        <v>0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</v>
      </c>
    </row>
    <row r="81" spans="1:32" ht="18" customHeight="1">
      <c r="A81" s="2" t="s">
        <v>111</v>
      </c>
      <c r="B81" s="3">
        <f t="shared" si="2"/>
        <v>13</v>
      </c>
      <c r="C81" s="2">
        <v>1</v>
      </c>
      <c r="D81" s="2">
        <v>0</v>
      </c>
      <c r="E81" s="2">
        <v>0</v>
      </c>
      <c r="F81" s="2">
        <v>1</v>
      </c>
      <c r="G81" s="2">
        <v>1</v>
      </c>
      <c r="H81" s="2">
        <v>0</v>
      </c>
      <c r="I81" s="2">
        <v>1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1</v>
      </c>
      <c r="X81" s="2">
        <v>0</v>
      </c>
      <c r="Y81" s="2">
        <v>0</v>
      </c>
      <c r="Z81" s="2">
        <v>1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</row>
    <row r="82" spans="1:32" ht="18" customHeight="1">
      <c r="A82" s="2" t="s">
        <v>114</v>
      </c>
      <c r="B82" s="3">
        <f t="shared" si="2"/>
        <v>12</v>
      </c>
      <c r="C82" s="2">
        <v>1</v>
      </c>
      <c r="D82" s="2">
        <v>0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</row>
    <row r="83" spans="1:32" ht="18" customHeight="1">
      <c r="A83" s="2" t="s">
        <v>116</v>
      </c>
      <c r="B83" s="3">
        <f t="shared" si="2"/>
        <v>12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0</v>
      </c>
      <c r="J83" s="2">
        <v>1</v>
      </c>
      <c r="K83" s="2">
        <v>0</v>
      </c>
      <c r="L83" s="2">
        <v>0</v>
      </c>
      <c r="M83" s="2">
        <v>1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1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2" ht="18" customHeight="1">
      <c r="A84" s="2" t="s">
        <v>118</v>
      </c>
      <c r="B84" s="3">
        <f t="shared" si="2"/>
        <v>12</v>
      </c>
      <c r="C84" s="2">
        <v>0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0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</v>
      </c>
      <c r="AD84" s="2">
        <v>0</v>
      </c>
      <c r="AE84" s="2">
        <v>0</v>
      </c>
      <c r="AF84" s="2">
        <v>0</v>
      </c>
    </row>
    <row r="85" spans="1:32" ht="18" customHeight="1">
      <c r="A85" s="2" t="s">
        <v>115</v>
      </c>
      <c r="B85" s="3">
        <f t="shared" si="2"/>
        <v>12</v>
      </c>
      <c r="C85" s="2">
        <v>1</v>
      </c>
      <c r="D85" s="2">
        <v>1</v>
      </c>
      <c r="E85" s="2">
        <v>1</v>
      </c>
      <c r="F85" s="2">
        <v>0</v>
      </c>
      <c r="G85" s="2">
        <v>1</v>
      </c>
      <c r="H85" s="2">
        <v>1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0</v>
      </c>
      <c r="R85" s="2">
        <v>1</v>
      </c>
      <c r="S85" s="2">
        <v>1</v>
      </c>
      <c r="T85" s="2">
        <v>1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</row>
    <row r="86" spans="1:32" ht="18" customHeight="1">
      <c r="A86" s="2" t="s">
        <v>117</v>
      </c>
      <c r="B86" s="3">
        <f t="shared" si="2"/>
        <v>12</v>
      </c>
      <c r="C86" s="2">
        <v>1</v>
      </c>
      <c r="D86" s="2">
        <v>1</v>
      </c>
      <c r="E86" s="2">
        <v>1</v>
      </c>
      <c r="F86" s="2">
        <v>0</v>
      </c>
      <c r="G86" s="2">
        <v>1</v>
      </c>
      <c r="H86" s="2">
        <v>1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</v>
      </c>
    </row>
    <row r="87" spans="1:32" ht="18" customHeight="1">
      <c r="A87" s="2" t="s">
        <v>119</v>
      </c>
      <c r="B87" s="3">
        <f t="shared" si="2"/>
        <v>11</v>
      </c>
      <c r="C87" s="2">
        <v>1</v>
      </c>
      <c r="D87" s="2">
        <v>0</v>
      </c>
      <c r="E87" s="2">
        <v>1</v>
      </c>
      <c r="F87" s="2">
        <v>1</v>
      </c>
      <c r="G87" s="2">
        <v>1</v>
      </c>
      <c r="H87" s="2">
        <v>0</v>
      </c>
      <c r="I87" s="2">
        <v>1</v>
      </c>
      <c r="J87" s="2">
        <v>1</v>
      </c>
      <c r="K87" s="2">
        <v>1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  <c r="Q87" s="2">
        <v>0</v>
      </c>
      <c r="R87" s="2">
        <v>1</v>
      </c>
      <c r="S87" s="2">
        <v>0</v>
      </c>
      <c r="T87" s="2">
        <v>1</v>
      </c>
      <c r="U87" s="2">
        <v>0</v>
      </c>
      <c r="V87" s="2">
        <v>0</v>
      </c>
      <c r="W87" s="2">
        <v>1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</row>
    <row r="88" spans="1:32" ht="18" customHeight="1">
      <c r="A88" s="2" t="s">
        <v>121</v>
      </c>
      <c r="B88" s="3">
        <f t="shared" si="2"/>
        <v>11</v>
      </c>
      <c r="C88" s="2">
        <v>1</v>
      </c>
      <c r="D88" s="2">
        <v>1</v>
      </c>
      <c r="E88" s="2">
        <v>1</v>
      </c>
      <c r="F88" s="2">
        <v>0</v>
      </c>
      <c r="G88" s="2">
        <v>1</v>
      </c>
      <c r="H88" s="2">
        <v>1</v>
      </c>
      <c r="I88" s="2">
        <v>0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</row>
    <row r="89" spans="1:32" ht="18" customHeight="1">
      <c r="A89" s="2" t="s">
        <v>122</v>
      </c>
      <c r="B89" s="3">
        <f t="shared" si="2"/>
        <v>11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1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</row>
    <row r="90" spans="1:32" ht="18" customHeight="1">
      <c r="A90" s="2" t="s">
        <v>124</v>
      </c>
      <c r="B90" s="3">
        <f t="shared" si="2"/>
        <v>11</v>
      </c>
      <c r="C90" s="2">
        <v>0</v>
      </c>
      <c r="D90" s="2">
        <v>1</v>
      </c>
      <c r="E90" s="2">
        <v>0</v>
      </c>
      <c r="F90" s="2">
        <v>1</v>
      </c>
      <c r="G90" s="2">
        <v>1</v>
      </c>
      <c r="H90" s="2">
        <v>1</v>
      </c>
      <c r="I90" s="2">
        <v>0</v>
      </c>
      <c r="J90" s="2">
        <v>1</v>
      </c>
      <c r="K90" s="2">
        <v>1</v>
      </c>
      <c r="L90" s="2">
        <v>1</v>
      </c>
      <c r="M90" s="2">
        <v>1</v>
      </c>
      <c r="N90" s="2">
        <v>0</v>
      </c>
      <c r="O90" s="2">
        <v>1</v>
      </c>
      <c r="P90" s="2">
        <v>0</v>
      </c>
      <c r="Q90" s="2">
        <v>0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0</v>
      </c>
    </row>
    <row r="91" spans="1:32" ht="18" customHeight="1">
      <c r="A91" s="2" t="s">
        <v>125</v>
      </c>
      <c r="B91" s="3">
        <f t="shared" si="2"/>
        <v>11</v>
      </c>
      <c r="C91" s="2">
        <v>1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0</v>
      </c>
      <c r="M91" s="2">
        <v>0</v>
      </c>
      <c r="N91" s="2">
        <v>1</v>
      </c>
      <c r="O91" s="2">
        <v>0</v>
      </c>
      <c r="P91" s="2">
        <v>1</v>
      </c>
      <c r="Q91" s="2">
        <v>1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0</v>
      </c>
    </row>
    <row r="92" spans="1:32" ht="18" customHeight="1">
      <c r="A92" s="2" t="s">
        <v>123</v>
      </c>
      <c r="B92" s="3">
        <f t="shared" si="2"/>
        <v>11</v>
      </c>
      <c r="C92" s="2">
        <v>1</v>
      </c>
      <c r="D92" s="2">
        <v>1</v>
      </c>
      <c r="E92" s="2">
        <v>1</v>
      </c>
      <c r="F92" s="2">
        <v>0</v>
      </c>
      <c r="G92" s="2">
        <v>0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</row>
    <row r="93" spans="1:32" ht="18" customHeight="1">
      <c r="A93" s="2" t="s">
        <v>120</v>
      </c>
      <c r="B93" s="3">
        <f t="shared" si="2"/>
        <v>11</v>
      </c>
      <c r="C93" s="2">
        <v>1</v>
      </c>
      <c r="D93" s="2">
        <v>0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0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</row>
    <row r="94" spans="1:32" ht="18" customHeight="1">
      <c r="A94" s="2" t="s">
        <v>130</v>
      </c>
      <c r="B94" s="3">
        <f t="shared" si="2"/>
        <v>10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</row>
    <row r="95" spans="1:32" ht="18" customHeight="1">
      <c r="A95" s="2" t="s">
        <v>129</v>
      </c>
      <c r="B95" s="3">
        <f t="shared" si="2"/>
        <v>10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</row>
    <row r="96" spans="1:32" ht="18" customHeight="1">
      <c r="A96" s="2" t="s">
        <v>126</v>
      </c>
      <c r="B96" s="3">
        <f t="shared" si="2"/>
        <v>10</v>
      </c>
      <c r="C96" s="2">
        <v>1</v>
      </c>
      <c r="D96" s="2">
        <v>1</v>
      </c>
      <c r="E96" s="2">
        <v>0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0</v>
      </c>
      <c r="L96" s="2">
        <v>1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</row>
    <row r="97" spans="1:32" ht="18" customHeight="1">
      <c r="A97" s="2" t="s">
        <v>127</v>
      </c>
      <c r="B97" s="3">
        <f t="shared" si="2"/>
        <v>10</v>
      </c>
      <c r="C97" s="2">
        <v>0</v>
      </c>
      <c r="D97" s="2">
        <v>1</v>
      </c>
      <c r="E97" s="2">
        <v>1</v>
      </c>
      <c r="F97" s="2">
        <v>1</v>
      </c>
      <c r="G97" s="2">
        <v>0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</row>
    <row r="98" spans="1:32" ht="18" customHeight="1">
      <c r="A98" s="2" t="s">
        <v>128</v>
      </c>
      <c r="B98" s="3">
        <f t="shared" si="2"/>
        <v>10</v>
      </c>
      <c r="C98" s="2">
        <v>1</v>
      </c>
      <c r="D98" s="2">
        <v>0</v>
      </c>
      <c r="E98" s="2">
        <v>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</row>
    <row r="99" spans="1:32" ht="18" customHeight="1">
      <c r="A99" s="2" t="s">
        <v>135</v>
      </c>
      <c r="B99" s="3">
        <f t="shared" ref="B99:B130" si="3">SUM(C99:AF99)</f>
        <v>9</v>
      </c>
      <c r="C99" s="2">
        <v>1</v>
      </c>
      <c r="D99" s="2">
        <v>1</v>
      </c>
      <c r="E99" s="2">
        <v>0</v>
      </c>
      <c r="F99" s="2">
        <v>0</v>
      </c>
      <c r="G99" s="2">
        <v>1</v>
      </c>
      <c r="H99" s="2">
        <v>1</v>
      </c>
      <c r="I99" s="2">
        <v>1</v>
      </c>
      <c r="J99" s="2">
        <v>0</v>
      </c>
      <c r="K99" s="2">
        <v>1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1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</row>
    <row r="100" spans="1:32" ht="18" customHeight="1">
      <c r="A100" s="2" t="s">
        <v>132</v>
      </c>
      <c r="B100" s="3">
        <f t="shared" si="3"/>
        <v>9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0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</row>
    <row r="101" spans="1:32" ht="18" customHeight="1">
      <c r="A101" s="2" t="s">
        <v>133</v>
      </c>
      <c r="B101" s="3">
        <f t="shared" si="3"/>
        <v>9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2">
        <v>1</v>
      </c>
      <c r="I101" s="2">
        <v>1</v>
      </c>
      <c r="J101" s="2">
        <v>0</v>
      </c>
      <c r="K101" s="2">
        <v>1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</row>
    <row r="102" spans="1:32" ht="18" customHeight="1">
      <c r="A102" s="2" t="s">
        <v>131</v>
      </c>
      <c r="B102" s="3">
        <f t="shared" si="3"/>
        <v>9</v>
      </c>
      <c r="C102" s="2">
        <v>1</v>
      </c>
      <c r="D102" s="2">
        <v>1</v>
      </c>
      <c r="E102" s="2">
        <v>1</v>
      </c>
      <c r="F102" s="2">
        <v>0</v>
      </c>
      <c r="G102" s="2">
        <v>1</v>
      </c>
      <c r="H102" s="2">
        <v>1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</row>
    <row r="103" spans="1:32" ht="18" customHeight="1">
      <c r="A103" s="2" t="s">
        <v>134</v>
      </c>
      <c r="B103" s="3">
        <f t="shared" si="3"/>
        <v>9</v>
      </c>
      <c r="C103" s="2">
        <v>1</v>
      </c>
      <c r="D103" s="2">
        <v>1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1</v>
      </c>
      <c r="V103" s="2">
        <v>0</v>
      </c>
      <c r="W103" s="2">
        <v>0</v>
      </c>
      <c r="X103" s="2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</row>
    <row r="104" spans="1:32" ht="18" customHeight="1">
      <c r="A104" s="2" t="s">
        <v>136</v>
      </c>
      <c r="B104" s="3">
        <f t="shared" si="3"/>
        <v>8</v>
      </c>
      <c r="C104" s="2">
        <v>1</v>
      </c>
      <c r="D104" s="2">
        <v>1</v>
      </c>
      <c r="E104" s="2">
        <v>0</v>
      </c>
      <c r="F104" s="2">
        <v>0</v>
      </c>
      <c r="G104" s="2">
        <v>1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</row>
    <row r="105" spans="1:32" ht="18" customHeight="1">
      <c r="A105" s="2" t="s">
        <v>137</v>
      </c>
      <c r="B105" s="3">
        <f t="shared" si="3"/>
        <v>8</v>
      </c>
      <c r="C105" s="2">
        <v>1</v>
      </c>
      <c r="D105" s="2">
        <v>0</v>
      </c>
      <c r="E105" s="2">
        <v>1</v>
      </c>
      <c r="F105" s="2">
        <v>1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</row>
    <row r="106" spans="1:32" ht="18" customHeight="1">
      <c r="A106" s="2" t="s">
        <v>138</v>
      </c>
      <c r="B106" s="3">
        <f t="shared" si="3"/>
        <v>8</v>
      </c>
      <c r="C106" s="2">
        <v>0</v>
      </c>
      <c r="D106" s="2">
        <v>0</v>
      </c>
      <c r="E106" s="2">
        <v>1</v>
      </c>
      <c r="F106" s="2">
        <v>1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</row>
    <row r="107" spans="1:32" ht="18" customHeight="1">
      <c r="A107" s="2" t="s">
        <v>139</v>
      </c>
      <c r="B107" s="3">
        <f t="shared" si="3"/>
        <v>7</v>
      </c>
      <c r="C107" s="2">
        <v>0</v>
      </c>
      <c r="D107" s="2">
        <v>0</v>
      </c>
      <c r="E107" s="2">
        <v>1</v>
      </c>
      <c r="F107" s="2">
        <v>1</v>
      </c>
      <c r="G107" s="2">
        <v>1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</row>
    <row r="108" spans="1:32" ht="18" customHeight="1">
      <c r="A108" s="2" t="s">
        <v>144</v>
      </c>
      <c r="B108" s="3">
        <f t="shared" si="3"/>
        <v>6</v>
      </c>
      <c r="C108" s="2">
        <v>1</v>
      </c>
      <c r="D108" s="2">
        <v>1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</row>
    <row r="109" spans="1:32" ht="18" customHeight="1">
      <c r="A109" s="2" t="s">
        <v>140</v>
      </c>
      <c r="B109" s="3">
        <f t="shared" si="3"/>
        <v>6</v>
      </c>
      <c r="C109" s="2">
        <v>1</v>
      </c>
      <c r="D109" s="2">
        <v>0</v>
      </c>
      <c r="E109" s="2">
        <v>0</v>
      </c>
      <c r="F109" s="2">
        <v>0</v>
      </c>
      <c r="G109" s="2">
        <v>1</v>
      </c>
      <c r="H109" s="2">
        <v>1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</row>
    <row r="110" spans="1:32" ht="18" customHeight="1">
      <c r="A110" s="2" t="s">
        <v>143</v>
      </c>
      <c r="B110" s="3">
        <f t="shared" si="3"/>
        <v>6</v>
      </c>
      <c r="C110" s="2">
        <v>1</v>
      </c>
      <c r="D110" s="2">
        <v>1</v>
      </c>
      <c r="E110" s="2">
        <v>1</v>
      </c>
      <c r="F110" s="2">
        <v>0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</row>
    <row r="111" spans="1:32" ht="18" customHeight="1">
      <c r="A111" s="2" t="s">
        <v>141</v>
      </c>
      <c r="B111" s="3">
        <f t="shared" si="3"/>
        <v>6</v>
      </c>
      <c r="C111" s="2">
        <v>1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1</v>
      </c>
      <c r="J111" s="2">
        <v>0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</row>
    <row r="112" spans="1:32" ht="18" customHeight="1">
      <c r="A112" s="2" t="s">
        <v>142</v>
      </c>
      <c r="B112" s="3">
        <f t="shared" si="3"/>
        <v>6</v>
      </c>
      <c r="C112" s="2">
        <v>1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</row>
    <row r="113" spans="1:33" ht="18" customHeight="1">
      <c r="A113" s="2" t="s">
        <v>146</v>
      </c>
      <c r="B113" s="3">
        <f t="shared" si="3"/>
        <v>5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</row>
    <row r="114" spans="1:33" ht="18" customHeight="1">
      <c r="A114" s="2" t="s">
        <v>145</v>
      </c>
      <c r="B114" s="3">
        <f t="shared" si="3"/>
        <v>5</v>
      </c>
      <c r="C114" s="2">
        <v>0</v>
      </c>
      <c r="D114" s="2">
        <v>1</v>
      </c>
      <c r="E114" s="2">
        <v>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</row>
    <row r="115" spans="1:33" ht="18" customHeight="1">
      <c r="A115" s="2" t="s">
        <v>148</v>
      </c>
      <c r="B115" s="3">
        <f t="shared" si="3"/>
        <v>4</v>
      </c>
      <c r="C115" s="2">
        <v>0</v>
      </c>
      <c r="D115" s="2">
        <v>0</v>
      </c>
      <c r="E115" s="2">
        <v>1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</row>
    <row r="116" spans="1:33" ht="18" customHeight="1">
      <c r="A116" s="2" t="s">
        <v>147</v>
      </c>
      <c r="B116" s="3">
        <f t="shared" si="3"/>
        <v>4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</row>
    <row r="117" spans="1:33" ht="18" customHeight="1">
      <c r="A117" s="2" t="s">
        <v>150</v>
      </c>
      <c r="B117" s="3">
        <f t="shared" si="3"/>
        <v>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</row>
    <row r="118" spans="1:33" ht="18" customHeight="1">
      <c r="A118" s="2" t="s">
        <v>149</v>
      </c>
      <c r="B118" s="3">
        <f t="shared" si="3"/>
        <v>3</v>
      </c>
      <c r="C118" s="2">
        <v>0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</row>
    <row r="119" spans="1:33" ht="18" customHeight="1">
      <c r="A119" s="2" t="s">
        <v>151</v>
      </c>
      <c r="B119" s="3">
        <f t="shared" si="3"/>
        <v>2</v>
      </c>
      <c r="C119" s="2">
        <v>0</v>
      </c>
      <c r="D119" s="2">
        <v>1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</row>
    <row r="120" spans="1:33" ht="18" customHeight="1">
      <c r="A120" s="2" t="s">
        <v>152</v>
      </c>
      <c r="B120" s="3">
        <f t="shared" si="3"/>
        <v>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</row>
    <row r="121" spans="1:33" ht="18" customHeight="1">
      <c r="A121" s="2" t="s">
        <v>153</v>
      </c>
      <c r="B121" s="3">
        <f t="shared" si="3"/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</row>
    <row r="122" spans="1:33">
      <c r="B122" s="11"/>
      <c r="C122" s="11">
        <f>SUM(C2:C121)</f>
        <v>105</v>
      </c>
      <c r="D122" s="11">
        <f t="shared" ref="D122:AF122" si="4">SUM(D2:D121)</f>
        <v>100</v>
      </c>
      <c r="E122" s="11">
        <f t="shared" si="4"/>
        <v>100</v>
      </c>
      <c r="F122" s="11">
        <f t="shared" si="4"/>
        <v>93</v>
      </c>
      <c r="G122" s="11">
        <f t="shared" si="4"/>
        <v>102</v>
      </c>
      <c r="H122" s="11">
        <f t="shared" si="4"/>
        <v>95</v>
      </c>
      <c r="I122" s="11">
        <f t="shared" si="4"/>
        <v>99</v>
      </c>
      <c r="J122" s="11">
        <f t="shared" si="4"/>
        <v>96</v>
      </c>
      <c r="K122" s="11">
        <f t="shared" si="4"/>
        <v>90</v>
      </c>
      <c r="L122" s="11">
        <f t="shared" si="4"/>
        <v>80</v>
      </c>
      <c r="M122" s="11">
        <f t="shared" si="4"/>
        <v>81</v>
      </c>
      <c r="N122" s="11">
        <f t="shared" si="4"/>
        <v>71</v>
      </c>
      <c r="O122" s="11">
        <f t="shared" si="4"/>
        <v>72</v>
      </c>
      <c r="P122" s="11">
        <f t="shared" si="4"/>
        <v>64</v>
      </c>
      <c r="Q122" s="11">
        <f t="shared" si="4"/>
        <v>65</v>
      </c>
      <c r="R122" s="11">
        <f t="shared" si="4"/>
        <v>58</v>
      </c>
      <c r="S122" s="11">
        <f t="shared" si="4"/>
        <v>52</v>
      </c>
      <c r="T122" s="11">
        <f t="shared" si="4"/>
        <v>58</v>
      </c>
      <c r="U122" s="11">
        <f t="shared" si="4"/>
        <v>40</v>
      </c>
      <c r="V122" s="11">
        <f t="shared" si="4"/>
        <v>41</v>
      </c>
      <c r="W122" s="11">
        <f t="shared" si="4"/>
        <v>36</v>
      </c>
      <c r="X122" s="11">
        <f t="shared" si="4"/>
        <v>36</v>
      </c>
      <c r="Y122" s="11">
        <f t="shared" si="4"/>
        <v>35</v>
      </c>
      <c r="Z122" s="11">
        <f t="shared" si="4"/>
        <v>38</v>
      </c>
      <c r="AA122" s="11">
        <f t="shared" si="4"/>
        <v>30</v>
      </c>
      <c r="AB122" s="11">
        <f t="shared" si="4"/>
        <v>24</v>
      </c>
      <c r="AC122" s="11">
        <f t="shared" si="4"/>
        <v>25</v>
      </c>
      <c r="AD122" s="11">
        <f t="shared" si="4"/>
        <v>12</v>
      </c>
      <c r="AE122" s="11">
        <f t="shared" si="4"/>
        <v>15</v>
      </c>
      <c r="AF122" s="11">
        <f t="shared" si="4"/>
        <v>9</v>
      </c>
    </row>
    <row r="123" spans="1:33" ht="15.6">
      <c r="A123" s="22" t="s">
        <v>154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20.100000000000001" customHeight="1">
      <c r="A124" s="20" t="s">
        <v>155</v>
      </c>
      <c r="B124" s="21"/>
      <c r="C124">
        <f>SUM(C2:C33)</f>
        <v>32</v>
      </c>
      <c r="D124">
        <f t="shared" ref="D124:AF124" si="5">SUM(D2:D33)</f>
        <v>32</v>
      </c>
      <c r="E124">
        <f t="shared" si="5"/>
        <v>30</v>
      </c>
      <c r="F124">
        <f t="shared" si="5"/>
        <v>32</v>
      </c>
      <c r="G124">
        <f t="shared" si="5"/>
        <v>32</v>
      </c>
      <c r="H124">
        <f t="shared" si="5"/>
        <v>28</v>
      </c>
      <c r="I124">
        <f t="shared" si="5"/>
        <v>30</v>
      </c>
      <c r="J124">
        <f t="shared" si="5"/>
        <v>32</v>
      </c>
      <c r="K124">
        <f t="shared" si="5"/>
        <v>32</v>
      </c>
      <c r="L124">
        <f t="shared" si="5"/>
        <v>28</v>
      </c>
      <c r="M124">
        <f t="shared" si="5"/>
        <v>30</v>
      </c>
      <c r="N124">
        <f t="shared" si="5"/>
        <v>30</v>
      </c>
      <c r="O124">
        <f t="shared" si="5"/>
        <v>27</v>
      </c>
      <c r="P124">
        <f t="shared" si="5"/>
        <v>29</v>
      </c>
      <c r="Q124">
        <f t="shared" si="5"/>
        <v>29</v>
      </c>
      <c r="R124">
        <f t="shared" si="5"/>
        <v>27</v>
      </c>
      <c r="S124">
        <f t="shared" si="5"/>
        <v>26</v>
      </c>
      <c r="T124">
        <f t="shared" si="5"/>
        <v>27</v>
      </c>
      <c r="U124">
        <f t="shared" si="5"/>
        <v>21</v>
      </c>
      <c r="V124">
        <f t="shared" si="5"/>
        <v>22</v>
      </c>
      <c r="W124">
        <f t="shared" si="5"/>
        <v>21</v>
      </c>
      <c r="X124">
        <f t="shared" si="5"/>
        <v>19</v>
      </c>
      <c r="Y124">
        <f t="shared" si="5"/>
        <v>17</v>
      </c>
      <c r="Z124">
        <f t="shared" si="5"/>
        <v>24</v>
      </c>
      <c r="AA124">
        <f t="shared" si="5"/>
        <v>17</v>
      </c>
      <c r="AB124">
        <f t="shared" si="5"/>
        <v>15</v>
      </c>
      <c r="AC124">
        <f t="shared" si="5"/>
        <v>14</v>
      </c>
      <c r="AD124">
        <f t="shared" si="5"/>
        <v>10</v>
      </c>
      <c r="AE124">
        <f t="shared" si="5"/>
        <v>9</v>
      </c>
      <c r="AF124">
        <f t="shared" si="5"/>
        <v>7</v>
      </c>
    </row>
    <row r="125" spans="1:33" ht="20.100000000000001" customHeight="1">
      <c r="A125" s="20" t="s">
        <v>156</v>
      </c>
      <c r="B125" s="21"/>
      <c r="C125" s="4">
        <f>SUM(C90:C121)</f>
        <v>20</v>
      </c>
      <c r="D125" s="4">
        <f t="shared" ref="D125:AF125" si="6">SUM(D90:D121)</f>
        <v>18</v>
      </c>
      <c r="E125" s="4">
        <f t="shared" si="6"/>
        <v>16</v>
      </c>
      <c r="F125" s="4">
        <f t="shared" si="6"/>
        <v>14</v>
      </c>
      <c r="G125" s="4">
        <f t="shared" si="6"/>
        <v>16</v>
      </c>
      <c r="H125" s="4">
        <f t="shared" si="6"/>
        <v>18</v>
      </c>
      <c r="I125" s="4">
        <f t="shared" si="6"/>
        <v>18</v>
      </c>
      <c r="J125" s="4">
        <f t="shared" si="6"/>
        <v>13</v>
      </c>
      <c r="K125" s="4">
        <f t="shared" si="6"/>
        <v>8</v>
      </c>
      <c r="L125" s="4">
        <f t="shared" si="6"/>
        <v>13</v>
      </c>
      <c r="M125" s="4">
        <f t="shared" si="6"/>
        <v>11</v>
      </c>
      <c r="N125" s="4">
        <f t="shared" si="6"/>
        <v>8</v>
      </c>
      <c r="O125" s="4">
        <f t="shared" si="6"/>
        <v>8</v>
      </c>
      <c r="P125" s="4">
        <f t="shared" si="6"/>
        <v>7</v>
      </c>
      <c r="Q125" s="4">
        <f t="shared" si="6"/>
        <v>7</v>
      </c>
      <c r="R125" s="4">
        <f t="shared" si="6"/>
        <v>6</v>
      </c>
      <c r="S125" s="4">
        <f t="shared" si="6"/>
        <v>4</v>
      </c>
      <c r="T125" s="4">
        <f t="shared" si="6"/>
        <v>6</v>
      </c>
      <c r="U125" s="4">
        <f t="shared" si="6"/>
        <v>2</v>
      </c>
      <c r="V125" s="4">
        <f t="shared" si="6"/>
        <v>5</v>
      </c>
      <c r="W125" s="4">
        <f t="shared" si="6"/>
        <v>0</v>
      </c>
      <c r="X125" s="4">
        <f t="shared" si="6"/>
        <v>1</v>
      </c>
      <c r="Y125" s="4">
        <f t="shared" si="6"/>
        <v>1</v>
      </c>
      <c r="Z125" s="4">
        <f t="shared" si="6"/>
        <v>1</v>
      </c>
      <c r="AA125" s="4">
        <f t="shared" si="6"/>
        <v>2</v>
      </c>
      <c r="AB125" s="4">
        <f t="shared" si="6"/>
        <v>3</v>
      </c>
      <c r="AC125" s="4">
        <f t="shared" si="6"/>
        <v>1</v>
      </c>
      <c r="AD125" s="4">
        <f t="shared" si="6"/>
        <v>0</v>
      </c>
      <c r="AE125" s="4">
        <f t="shared" si="6"/>
        <v>0</v>
      </c>
      <c r="AF125" s="4">
        <f t="shared" si="6"/>
        <v>0</v>
      </c>
    </row>
    <row r="126" spans="1:33" s="7" customFormat="1" ht="20.100000000000001" customHeight="1">
      <c r="A126" s="20" t="s">
        <v>0</v>
      </c>
      <c r="B126" s="21"/>
      <c r="C126" s="12">
        <f>C122/120</f>
        <v>0.875</v>
      </c>
      <c r="D126" s="12">
        <f t="shared" ref="D126:AF126" si="7">D122/120</f>
        <v>0.83333333333333337</v>
      </c>
      <c r="E126" s="12">
        <f t="shared" si="7"/>
        <v>0.83333333333333337</v>
      </c>
      <c r="F126" s="12">
        <f t="shared" si="7"/>
        <v>0.77500000000000002</v>
      </c>
      <c r="G126" s="12">
        <f t="shared" si="7"/>
        <v>0.85</v>
      </c>
      <c r="H126" s="12">
        <f t="shared" si="7"/>
        <v>0.79166666666666663</v>
      </c>
      <c r="I126" s="12">
        <f t="shared" si="7"/>
        <v>0.82499999999999996</v>
      </c>
      <c r="J126" s="12">
        <f t="shared" si="7"/>
        <v>0.8</v>
      </c>
      <c r="K126" s="12">
        <f t="shared" si="7"/>
        <v>0.75</v>
      </c>
      <c r="L126" s="12">
        <f t="shared" si="7"/>
        <v>0.66666666666666663</v>
      </c>
      <c r="M126" s="12">
        <f t="shared" si="7"/>
        <v>0.67500000000000004</v>
      </c>
      <c r="N126" s="12">
        <f t="shared" si="7"/>
        <v>0.59166666666666667</v>
      </c>
      <c r="O126" s="12">
        <f t="shared" si="7"/>
        <v>0.6</v>
      </c>
      <c r="P126" s="12">
        <f t="shared" si="7"/>
        <v>0.53333333333333333</v>
      </c>
      <c r="Q126" s="12">
        <f t="shared" si="7"/>
        <v>0.54166666666666663</v>
      </c>
      <c r="R126" s="12">
        <f t="shared" si="7"/>
        <v>0.48333333333333334</v>
      </c>
      <c r="S126" s="12">
        <f t="shared" si="7"/>
        <v>0.43333333333333335</v>
      </c>
      <c r="T126" s="12">
        <f t="shared" si="7"/>
        <v>0.48333333333333334</v>
      </c>
      <c r="U126" s="12">
        <f t="shared" si="7"/>
        <v>0.33333333333333331</v>
      </c>
      <c r="V126" s="12">
        <f t="shared" si="7"/>
        <v>0.34166666666666667</v>
      </c>
      <c r="W126" s="12">
        <f t="shared" si="7"/>
        <v>0.3</v>
      </c>
      <c r="X126" s="12">
        <f t="shared" si="7"/>
        <v>0.3</v>
      </c>
      <c r="Y126" s="12">
        <f t="shared" si="7"/>
        <v>0.29166666666666669</v>
      </c>
      <c r="Z126" s="12">
        <f t="shared" si="7"/>
        <v>0.31666666666666665</v>
      </c>
      <c r="AA126" s="12">
        <f t="shared" si="7"/>
        <v>0.25</v>
      </c>
      <c r="AB126" s="12">
        <f t="shared" si="7"/>
        <v>0.2</v>
      </c>
      <c r="AC126" s="12">
        <f t="shared" si="7"/>
        <v>0.20833333333333334</v>
      </c>
      <c r="AD126" s="12">
        <f t="shared" si="7"/>
        <v>0.1</v>
      </c>
      <c r="AE126" s="12">
        <f t="shared" si="7"/>
        <v>0.125</v>
      </c>
      <c r="AF126" s="12">
        <f t="shared" si="7"/>
        <v>7.4999999999999997E-2</v>
      </c>
    </row>
    <row r="127" spans="1:33" ht="20.100000000000001" customHeight="1">
      <c r="A127" s="20" t="s">
        <v>157</v>
      </c>
      <c r="B127" s="21"/>
      <c r="C127" s="5" t="str">
        <f>IF(C126&gt;=0.71, "Easy", IF(C126&gt;=0.3, "Average", "Difficult"))</f>
        <v>Easy</v>
      </c>
      <c r="D127" s="5" t="str">
        <f t="shared" ref="D127:AF127" si="8">IF(D126&gt;=0.71, "Easy", IF(D126&gt;=0.3, "Average", "Difficult"))</f>
        <v>Easy</v>
      </c>
      <c r="E127" s="5" t="str">
        <f t="shared" si="8"/>
        <v>Easy</v>
      </c>
      <c r="F127" s="5" t="str">
        <f t="shared" si="8"/>
        <v>Easy</v>
      </c>
      <c r="G127" s="5" t="str">
        <f t="shared" si="8"/>
        <v>Easy</v>
      </c>
      <c r="H127" s="5" t="str">
        <f t="shared" si="8"/>
        <v>Easy</v>
      </c>
      <c r="I127" s="5" t="str">
        <f t="shared" si="8"/>
        <v>Easy</v>
      </c>
      <c r="J127" s="5" t="str">
        <f t="shared" si="8"/>
        <v>Easy</v>
      </c>
      <c r="K127" s="5" t="str">
        <f t="shared" si="8"/>
        <v>Easy</v>
      </c>
      <c r="L127" s="5" t="str">
        <f t="shared" si="8"/>
        <v>Average</v>
      </c>
      <c r="M127" s="5" t="str">
        <f t="shared" si="8"/>
        <v>Average</v>
      </c>
      <c r="N127" s="5" t="str">
        <f t="shared" si="8"/>
        <v>Average</v>
      </c>
      <c r="O127" s="5" t="str">
        <f t="shared" si="8"/>
        <v>Average</v>
      </c>
      <c r="P127" s="5" t="str">
        <f t="shared" si="8"/>
        <v>Average</v>
      </c>
      <c r="Q127" s="5" t="str">
        <f t="shared" si="8"/>
        <v>Average</v>
      </c>
      <c r="R127" s="5" t="str">
        <f t="shared" si="8"/>
        <v>Average</v>
      </c>
      <c r="S127" s="5" t="str">
        <f t="shared" si="8"/>
        <v>Average</v>
      </c>
      <c r="T127" s="5" t="str">
        <f t="shared" si="8"/>
        <v>Average</v>
      </c>
      <c r="U127" s="5" t="str">
        <f t="shared" si="8"/>
        <v>Average</v>
      </c>
      <c r="V127" s="5" t="str">
        <f t="shared" si="8"/>
        <v>Average</v>
      </c>
      <c r="W127" s="5" t="str">
        <f t="shared" si="8"/>
        <v>Average</v>
      </c>
      <c r="X127" s="5" t="str">
        <f t="shared" si="8"/>
        <v>Average</v>
      </c>
      <c r="Y127" s="5" t="str">
        <f t="shared" si="8"/>
        <v>Difficult</v>
      </c>
      <c r="Z127" s="5" t="str">
        <f t="shared" si="8"/>
        <v>Average</v>
      </c>
      <c r="AA127" s="5" t="str">
        <f t="shared" si="8"/>
        <v>Difficult</v>
      </c>
      <c r="AB127" s="5" t="str">
        <f t="shared" si="8"/>
        <v>Difficult</v>
      </c>
      <c r="AC127" s="5" t="str">
        <f t="shared" si="8"/>
        <v>Difficult</v>
      </c>
      <c r="AD127" s="5" t="str">
        <f t="shared" si="8"/>
        <v>Difficult</v>
      </c>
      <c r="AE127" s="5" t="str">
        <f t="shared" si="8"/>
        <v>Difficult</v>
      </c>
      <c r="AF127" s="5" t="str">
        <f t="shared" si="8"/>
        <v>Difficult</v>
      </c>
    </row>
    <row r="128" spans="1:33" s="8" customFormat="1" ht="20.100000000000001" customHeight="1">
      <c r="A128" s="20" t="s">
        <v>1</v>
      </c>
      <c r="B128" s="21"/>
      <c r="C128" s="13">
        <f>(C124-C125)/32</f>
        <v>0.375</v>
      </c>
      <c r="D128" s="13">
        <f t="shared" ref="D128:AF128" si="9">(D124-D125)/32</f>
        <v>0.4375</v>
      </c>
      <c r="E128" s="13">
        <f t="shared" si="9"/>
        <v>0.4375</v>
      </c>
      <c r="F128" s="13">
        <f t="shared" si="9"/>
        <v>0.5625</v>
      </c>
      <c r="G128" s="13">
        <f t="shared" si="9"/>
        <v>0.5</v>
      </c>
      <c r="H128" s="13">
        <f t="shared" si="9"/>
        <v>0.3125</v>
      </c>
      <c r="I128" s="13">
        <f t="shared" si="9"/>
        <v>0.375</v>
      </c>
      <c r="J128" s="13">
        <f t="shared" si="9"/>
        <v>0.59375</v>
      </c>
      <c r="K128" s="13">
        <f t="shared" si="9"/>
        <v>0.75</v>
      </c>
      <c r="L128" s="13">
        <f t="shared" si="9"/>
        <v>0.46875</v>
      </c>
      <c r="M128" s="13">
        <f t="shared" si="9"/>
        <v>0.59375</v>
      </c>
      <c r="N128" s="13">
        <f t="shared" si="9"/>
        <v>0.6875</v>
      </c>
      <c r="O128" s="13">
        <f t="shared" si="9"/>
        <v>0.59375</v>
      </c>
      <c r="P128" s="13">
        <f t="shared" si="9"/>
        <v>0.6875</v>
      </c>
      <c r="Q128" s="13">
        <f t="shared" si="9"/>
        <v>0.6875</v>
      </c>
      <c r="R128" s="13">
        <f t="shared" si="9"/>
        <v>0.65625</v>
      </c>
      <c r="S128" s="13">
        <f t="shared" si="9"/>
        <v>0.6875</v>
      </c>
      <c r="T128" s="13">
        <f t="shared" si="9"/>
        <v>0.65625</v>
      </c>
      <c r="U128" s="13">
        <f t="shared" si="9"/>
        <v>0.59375</v>
      </c>
      <c r="V128" s="13">
        <f t="shared" si="9"/>
        <v>0.53125</v>
      </c>
      <c r="W128" s="13">
        <f t="shared" si="9"/>
        <v>0.65625</v>
      </c>
      <c r="X128" s="13">
        <f t="shared" si="9"/>
        <v>0.5625</v>
      </c>
      <c r="Y128" s="13">
        <f t="shared" si="9"/>
        <v>0.5</v>
      </c>
      <c r="Z128" s="13">
        <f t="shared" si="9"/>
        <v>0.71875</v>
      </c>
      <c r="AA128" s="13">
        <f t="shared" si="9"/>
        <v>0.46875</v>
      </c>
      <c r="AB128" s="13">
        <f t="shared" si="9"/>
        <v>0.375</v>
      </c>
      <c r="AC128" s="13">
        <f t="shared" si="9"/>
        <v>0.40625</v>
      </c>
      <c r="AD128" s="13">
        <f t="shared" si="9"/>
        <v>0.3125</v>
      </c>
      <c r="AE128" s="13">
        <f t="shared" si="9"/>
        <v>0.28125</v>
      </c>
      <c r="AF128" s="13">
        <f t="shared" si="9"/>
        <v>0.21875</v>
      </c>
    </row>
    <row r="129" spans="1:32" ht="20.100000000000001" customHeight="1">
      <c r="A129" s="20" t="s">
        <v>158</v>
      </c>
      <c r="B129" s="21"/>
      <c r="C129" s="5" t="str">
        <f>IF(C128&lt;=-0.5, "Questionable", IF(C128&lt;=0.45, "Non-discriminating", IF(C128&lt;=1, "Discriminating", "")))</f>
        <v>Non-discriminating</v>
      </c>
      <c r="D129" s="5" t="str">
        <f t="shared" ref="D129:AF129" si="10">IF(D128&lt;=-0.5, "Questionable", IF(D128&lt;=0.45, "Non-discriminating", IF(D128&lt;=1, "Discriminating", "")))</f>
        <v>Non-discriminating</v>
      </c>
      <c r="E129" s="5" t="str">
        <f t="shared" si="10"/>
        <v>Non-discriminating</v>
      </c>
      <c r="F129" s="5" t="str">
        <f t="shared" si="10"/>
        <v>Discriminating</v>
      </c>
      <c r="G129" s="5" t="str">
        <f t="shared" si="10"/>
        <v>Discriminating</v>
      </c>
      <c r="H129" s="5" t="str">
        <f t="shared" si="10"/>
        <v>Non-discriminating</v>
      </c>
      <c r="I129" s="5" t="str">
        <f t="shared" si="10"/>
        <v>Non-discriminating</v>
      </c>
      <c r="J129" s="5" t="str">
        <f t="shared" si="10"/>
        <v>Discriminating</v>
      </c>
      <c r="K129" s="5" t="str">
        <f t="shared" si="10"/>
        <v>Discriminating</v>
      </c>
      <c r="L129" s="5" t="str">
        <f t="shared" si="10"/>
        <v>Discriminating</v>
      </c>
      <c r="M129" s="5" t="str">
        <f t="shared" si="10"/>
        <v>Discriminating</v>
      </c>
      <c r="N129" s="5" t="str">
        <f t="shared" si="10"/>
        <v>Discriminating</v>
      </c>
      <c r="O129" s="5" t="str">
        <f t="shared" si="10"/>
        <v>Discriminating</v>
      </c>
      <c r="P129" s="5" t="str">
        <f t="shared" si="10"/>
        <v>Discriminating</v>
      </c>
      <c r="Q129" s="5" t="str">
        <f t="shared" si="10"/>
        <v>Discriminating</v>
      </c>
      <c r="R129" s="5" t="str">
        <f t="shared" si="10"/>
        <v>Discriminating</v>
      </c>
      <c r="S129" s="5" t="str">
        <f t="shared" si="10"/>
        <v>Discriminating</v>
      </c>
      <c r="T129" s="5" t="str">
        <f t="shared" si="10"/>
        <v>Discriminating</v>
      </c>
      <c r="U129" s="5" t="str">
        <f t="shared" si="10"/>
        <v>Discriminating</v>
      </c>
      <c r="V129" s="5" t="str">
        <f t="shared" si="10"/>
        <v>Discriminating</v>
      </c>
      <c r="W129" s="5" t="str">
        <f t="shared" si="10"/>
        <v>Discriminating</v>
      </c>
      <c r="X129" s="5" t="str">
        <f t="shared" si="10"/>
        <v>Discriminating</v>
      </c>
      <c r="Y129" s="5" t="str">
        <f t="shared" si="10"/>
        <v>Discriminating</v>
      </c>
      <c r="Z129" s="5" t="str">
        <f t="shared" si="10"/>
        <v>Discriminating</v>
      </c>
      <c r="AA129" s="5" t="str">
        <f t="shared" si="10"/>
        <v>Discriminating</v>
      </c>
      <c r="AB129" s="5" t="str">
        <f t="shared" si="10"/>
        <v>Non-discriminating</v>
      </c>
      <c r="AC129" s="5" t="str">
        <f t="shared" si="10"/>
        <v>Non-discriminating</v>
      </c>
      <c r="AD129" s="5" t="str">
        <f t="shared" si="10"/>
        <v>Non-discriminating</v>
      </c>
      <c r="AE129" s="5" t="str">
        <f t="shared" si="10"/>
        <v>Non-discriminating</v>
      </c>
      <c r="AF129" s="5" t="str">
        <f t="shared" si="10"/>
        <v>Non-discriminating</v>
      </c>
    </row>
    <row r="130" spans="1:32" s="10" customFormat="1" ht="20.100000000000001" customHeight="1">
      <c r="A130" s="20" t="s">
        <v>159</v>
      </c>
      <c r="B130" s="21"/>
      <c r="C130" s="14" t="str">
        <f>IF(C128&lt;=-0.5, "Discard", IF(C128&lt;=0.45, "Revise", IF(C128&lt;=1, "Retain", "")))</f>
        <v>Revise</v>
      </c>
      <c r="D130" s="14" t="str">
        <f t="shared" ref="D130:AF130" si="11">IF(D128&lt;=-0.5, "Discard", IF(D128&lt;=0.45, "Revise", IF(D128&lt;=1, "Retain", "")))</f>
        <v>Revise</v>
      </c>
      <c r="E130" s="14" t="str">
        <f t="shared" si="11"/>
        <v>Revise</v>
      </c>
      <c r="F130" s="14" t="str">
        <f t="shared" si="11"/>
        <v>Retain</v>
      </c>
      <c r="G130" s="14" t="str">
        <f t="shared" si="11"/>
        <v>Retain</v>
      </c>
      <c r="H130" s="14" t="str">
        <f t="shared" si="11"/>
        <v>Revise</v>
      </c>
      <c r="I130" s="14" t="str">
        <f t="shared" si="11"/>
        <v>Revise</v>
      </c>
      <c r="J130" s="14" t="str">
        <f t="shared" si="11"/>
        <v>Retain</v>
      </c>
      <c r="K130" s="14" t="str">
        <f t="shared" si="11"/>
        <v>Retain</v>
      </c>
      <c r="L130" s="14" t="str">
        <f t="shared" si="11"/>
        <v>Retain</v>
      </c>
      <c r="M130" s="14" t="str">
        <f t="shared" si="11"/>
        <v>Retain</v>
      </c>
      <c r="N130" s="14" t="str">
        <f t="shared" si="11"/>
        <v>Retain</v>
      </c>
      <c r="O130" s="14" t="str">
        <f t="shared" si="11"/>
        <v>Retain</v>
      </c>
      <c r="P130" s="14" t="str">
        <f t="shared" si="11"/>
        <v>Retain</v>
      </c>
      <c r="Q130" s="14" t="str">
        <f t="shared" si="11"/>
        <v>Retain</v>
      </c>
      <c r="R130" s="14" t="str">
        <f t="shared" si="11"/>
        <v>Retain</v>
      </c>
      <c r="S130" s="14" t="str">
        <f t="shared" si="11"/>
        <v>Retain</v>
      </c>
      <c r="T130" s="14" t="str">
        <f t="shared" si="11"/>
        <v>Retain</v>
      </c>
      <c r="U130" s="14" t="str">
        <f t="shared" si="11"/>
        <v>Retain</v>
      </c>
      <c r="V130" s="14" t="str">
        <f t="shared" si="11"/>
        <v>Retain</v>
      </c>
      <c r="W130" s="14" t="str">
        <f t="shared" si="11"/>
        <v>Retain</v>
      </c>
      <c r="X130" s="14" t="str">
        <f t="shared" si="11"/>
        <v>Retain</v>
      </c>
      <c r="Y130" s="14" t="str">
        <f t="shared" si="11"/>
        <v>Retain</v>
      </c>
      <c r="Z130" s="14" t="str">
        <f t="shared" si="11"/>
        <v>Retain</v>
      </c>
      <c r="AA130" s="14" t="str">
        <f t="shared" si="11"/>
        <v>Retain</v>
      </c>
      <c r="AB130" s="14" t="str">
        <f t="shared" si="11"/>
        <v>Revise</v>
      </c>
      <c r="AC130" s="14" t="str">
        <f t="shared" si="11"/>
        <v>Revise</v>
      </c>
      <c r="AD130" s="14" t="str">
        <f t="shared" si="11"/>
        <v>Revise</v>
      </c>
      <c r="AE130" s="14" t="str">
        <f t="shared" si="11"/>
        <v>Revise</v>
      </c>
      <c r="AF130" s="14" t="str">
        <f t="shared" si="11"/>
        <v>Revise</v>
      </c>
    </row>
    <row r="131" spans="1:32"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</sheetData>
  <sortState xmlns:xlrd2="http://schemas.microsoft.com/office/spreadsheetml/2017/richdata2" ref="A2:AF121">
    <sortCondition descending="1" ref="B2:B121"/>
  </sortState>
  <mergeCells count="8">
    <mergeCell ref="A128:B128"/>
    <mergeCell ref="A129:B129"/>
    <mergeCell ref="A130:B130"/>
    <mergeCell ref="A123:AG123"/>
    <mergeCell ref="A124:B124"/>
    <mergeCell ref="A125:B125"/>
    <mergeCell ref="A126:B126"/>
    <mergeCell ref="A127:B12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9" sqref="A9"/>
    </sheetView>
  </sheetViews>
  <sheetFormatPr defaultRowHeight="14.4"/>
  <cols>
    <col min="2" max="2" width="8.33203125" bestFit="1" customWidth="1"/>
    <col min="3" max="3" width="18.44140625" bestFit="1" customWidth="1"/>
    <col min="4" max="4" width="8.33203125" bestFit="1" customWidth="1"/>
  </cols>
  <sheetData>
    <row r="1" spans="1:4">
      <c r="A1" s="16" t="s">
        <v>160</v>
      </c>
      <c r="B1" s="16" t="s">
        <v>161</v>
      </c>
      <c r="C1" s="16" t="s">
        <v>162</v>
      </c>
      <c r="D1" s="16" t="s">
        <v>161</v>
      </c>
    </row>
    <row r="5" spans="1:4">
      <c r="A5" s="15" t="s">
        <v>163</v>
      </c>
      <c r="B5">
        <v>9</v>
      </c>
      <c r="C5" s="15" t="s">
        <v>166</v>
      </c>
      <c r="D5">
        <v>0</v>
      </c>
    </row>
    <row r="6" spans="1:4">
      <c r="A6" s="15" t="s">
        <v>164</v>
      </c>
      <c r="B6">
        <v>14</v>
      </c>
      <c r="C6" s="15" t="s">
        <v>167</v>
      </c>
      <c r="D6">
        <v>10</v>
      </c>
    </row>
    <row r="7" spans="1:4">
      <c r="A7" s="15" t="s">
        <v>165</v>
      </c>
      <c r="B7">
        <v>7</v>
      </c>
      <c r="C7" s="15" t="s">
        <v>168</v>
      </c>
      <c r="D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0"/>
  <sheetViews>
    <sheetView tabSelected="1" topLeftCell="A108" workbookViewId="0">
      <selection activeCell="L118" sqref="L118"/>
    </sheetView>
  </sheetViews>
  <sheetFormatPr defaultRowHeight="14.4"/>
  <cols>
    <col min="1" max="1" width="37.6640625" bestFit="1" customWidth="1"/>
    <col min="2" max="2" width="9.44140625" customWidth="1"/>
    <col min="4" max="4" width="20.88671875" customWidth="1"/>
    <col min="5" max="6" width="22.5546875" bestFit="1" customWidth="1"/>
  </cols>
  <sheetData>
    <row r="1" spans="1:6">
      <c r="A1" s="1" t="s">
        <v>2</v>
      </c>
      <c r="B1" s="1" t="s">
        <v>169</v>
      </c>
      <c r="C1" s="1" t="s">
        <v>170</v>
      </c>
      <c r="D1" s="1" t="s">
        <v>172</v>
      </c>
      <c r="E1" s="1" t="s">
        <v>173</v>
      </c>
      <c r="F1" s="1" t="s">
        <v>174</v>
      </c>
    </row>
    <row r="2" spans="1:6">
      <c r="A2" s="2" t="s">
        <v>96</v>
      </c>
      <c r="B2" s="3">
        <v>15</v>
      </c>
      <c r="C2" s="3">
        <v>18</v>
      </c>
      <c r="D2" s="18">
        <f>SUM(Scores!D2:M2)</f>
        <v>7</v>
      </c>
      <c r="E2" s="18">
        <f>SUM(Scores!N2:W2)</f>
        <v>5</v>
      </c>
      <c r="F2" s="18">
        <f>SUM(Scores!X2:AG2)</f>
        <v>3</v>
      </c>
    </row>
    <row r="3" spans="1:6">
      <c r="A3" s="2" t="s">
        <v>150</v>
      </c>
      <c r="B3" s="3">
        <v>3</v>
      </c>
      <c r="C3" s="3">
        <v>18</v>
      </c>
      <c r="D3" s="18">
        <f>SUM(Scores!D3:M3)</f>
        <v>3</v>
      </c>
      <c r="E3" s="18">
        <f>SUM(Scores!N3:W3)</f>
        <v>0</v>
      </c>
      <c r="F3" s="18">
        <f>SUM(Scores!X3:AG3)</f>
        <v>0</v>
      </c>
    </row>
    <row r="4" spans="1:6">
      <c r="A4" s="2" t="s">
        <v>79</v>
      </c>
      <c r="B4" s="3">
        <v>17</v>
      </c>
      <c r="C4" s="3">
        <v>18</v>
      </c>
      <c r="D4" s="18">
        <f>SUM(Scores!D4:M4)</f>
        <v>10</v>
      </c>
      <c r="E4" s="18">
        <f>SUM(Scores!N4:W4)</f>
        <v>4</v>
      </c>
      <c r="F4" s="18">
        <f>SUM(Scores!X4:AG4)</f>
        <v>2</v>
      </c>
    </row>
    <row r="5" spans="1:6">
      <c r="A5" s="2" t="s">
        <v>80</v>
      </c>
      <c r="B5" s="3">
        <v>17</v>
      </c>
      <c r="C5" s="3">
        <v>21</v>
      </c>
      <c r="D5" s="18">
        <f>SUM(Scores!D5:M5)</f>
        <v>9</v>
      </c>
      <c r="E5" s="18">
        <f>SUM(Scores!N5:W5)</f>
        <v>5</v>
      </c>
      <c r="F5" s="18">
        <f>SUM(Scores!X5:AG5)</f>
        <v>2</v>
      </c>
    </row>
    <row r="6" spans="1:6">
      <c r="A6" s="2" t="s">
        <v>42</v>
      </c>
      <c r="B6" s="3">
        <v>25</v>
      </c>
      <c r="C6" s="3">
        <v>21</v>
      </c>
      <c r="D6" s="18">
        <f>SUM(Scores!D6:M6)</f>
        <v>10</v>
      </c>
      <c r="E6" s="18">
        <f>SUM(Scores!N6:W6)</f>
        <v>10</v>
      </c>
      <c r="F6" s="18">
        <f>SUM(Scores!X6:AG6)</f>
        <v>4</v>
      </c>
    </row>
    <row r="7" spans="1:6">
      <c r="A7" s="2" t="s">
        <v>93</v>
      </c>
      <c r="B7" s="3">
        <v>16</v>
      </c>
      <c r="C7" s="3">
        <v>18</v>
      </c>
      <c r="D7" s="18">
        <f>SUM(Scores!D7:M7)</f>
        <v>8</v>
      </c>
      <c r="E7" s="18">
        <f>SUM(Scores!N7:W7)</f>
        <v>5</v>
      </c>
      <c r="F7" s="18">
        <f>SUM(Scores!X7:AG7)</f>
        <v>2</v>
      </c>
    </row>
    <row r="8" spans="1:6">
      <c r="A8" s="2" t="s">
        <v>114</v>
      </c>
      <c r="B8" s="3">
        <v>12</v>
      </c>
      <c r="C8" s="3">
        <v>18</v>
      </c>
      <c r="D8" s="18">
        <f>SUM(Scores!D8:M8)</f>
        <v>9</v>
      </c>
      <c r="E8" s="18">
        <f>SUM(Scores!N8:W8)</f>
        <v>2</v>
      </c>
      <c r="F8" s="18">
        <f>SUM(Scores!X8:AG8)</f>
        <v>0</v>
      </c>
    </row>
    <row r="9" spans="1:6">
      <c r="A9" s="2" t="s">
        <v>149</v>
      </c>
      <c r="B9" s="3">
        <v>3</v>
      </c>
      <c r="C9" s="3">
        <v>18</v>
      </c>
      <c r="D9" s="18">
        <f>SUM(Scores!D9:M9)</f>
        <v>2</v>
      </c>
      <c r="E9" s="18">
        <f>SUM(Scores!N9:W9)</f>
        <v>1</v>
      </c>
      <c r="F9" s="18">
        <f>SUM(Scores!X9:AG9)</f>
        <v>0</v>
      </c>
    </row>
    <row r="10" spans="1:6">
      <c r="A10" s="2" t="s">
        <v>60</v>
      </c>
      <c r="B10" s="3">
        <v>20</v>
      </c>
      <c r="C10" s="3">
        <v>18</v>
      </c>
      <c r="D10" s="18">
        <f>SUM(Scores!D10:M10)</f>
        <v>9</v>
      </c>
      <c r="E10" s="18">
        <f>SUM(Scores!N10:W10)</f>
        <v>7</v>
      </c>
      <c r="F10" s="18">
        <f>SUM(Scores!X10:AG10)</f>
        <v>3</v>
      </c>
    </row>
    <row r="11" spans="1:6">
      <c r="A11" s="2" t="s">
        <v>119</v>
      </c>
      <c r="B11" s="3">
        <v>11</v>
      </c>
      <c r="C11" s="3">
        <v>18</v>
      </c>
      <c r="D11" s="18">
        <f>SUM(Scores!D11:M11)</f>
        <v>6</v>
      </c>
      <c r="E11" s="18">
        <f>SUM(Scores!N11:W11)</f>
        <v>4</v>
      </c>
      <c r="F11" s="18">
        <f>SUM(Scores!X11:AG11)</f>
        <v>0</v>
      </c>
    </row>
    <row r="12" spans="1:6">
      <c r="A12" s="2" t="s">
        <v>99</v>
      </c>
      <c r="B12" s="3">
        <v>15</v>
      </c>
      <c r="C12" s="3">
        <v>18</v>
      </c>
      <c r="D12" s="18">
        <f>SUM(Scores!D12:M12)</f>
        <v>9</v>
      </c>
      <c r="E12" s="18">
        <f>SUM(Scores!N12:W12)</f>
        <v>4</v>
      </c>
      <c r="F12" s="18">
        <f>SUM(Scores!X12:AG12)</f>
        <v>1</v>
      </c>
    </row>
    <row r="13" spans="1:6">
      <c r="A13" s="2" t="s">
        <v>135</v>
      </c>
      <c r="B13" s="3">
        <v>9</v>
      </c>
      <c r="C13" s="3">
        <v>18</v>
      </c>
      <c r="D13" s="18">
        <f>SUM(Scores!D13:M13)</f>
        <v>6</v>
      </c>
      <c r="E13" s="18">
        <f>SUM(Scores!N13:W13)</f>
        <v>2</v>
      </c>
      <c r="F13" s="18">
        <f>SUM(Scores!X13:AG13)</f>
        <v>0</v>
      </c>
    </row>
    <row r="14" spans="1:6">
      <c r="A14" s="2" t="s">
        <v>152</v>
      </c>
      <c r="B14" s="3">
        <v>1</v>
      </c>
      <c r="C14" s="3">
        <v>18</v>
      </c>
      <c r="D14" s="18">
        <f>SUM(Scores!D14:M14)</f>
        <v>1</v>
      </c>
      <c r="E14" s="18">
        <f>SUM(Scores!N14:W14)</f>
        <v>0</v>
      </c>
      <c r="F14" s="18">
        <f>SUM(Scores!X14:AG14)</f>
        <v>0</v>
      </c>
    </row>
    <row r="15" spans="1:6">
      <c r="A15" s="2" t="s">
        <v>48</v>
      </c>
      <c r="B15" s="3">
        <v>23</v>
      </c>
      <c r="C15" s="3">
        <v>20</v>
      </c>
      <c r="D15" s="18">
        <f>SUM(Scores!D15:M15)</f>
        <v>10</v>
      </c>
      <c r="E15" s="18">
        <f>SUM(Scores!N15:W15)</f>
        <v>8</v>
      </c>
      <c r="F15" s="18">
        <f>SUM(Scores!X15:AG15)</f>
        <v>4</v>
      </c>
    </row>
    <row r="16" spans="1:6">
      <c r="A16" s="2" t="s">
        <v>69</v>
      </c>
      <c r="B16" s="3">
        <v>18</v>
      </c>
      <c r="C16" s="3">
        <v>20</v>
      </c>
      <c r="D16" s="18">
        <f>SUM(Scores!D16:M16)</f>
        <v>9</v>
      </c>
      <c r="E16" s="18">
        <f>SUM(Scores!N16:W16)</f>
        <v>8</v>
      </c>
      <c r="F16" s="18">
        <f>SUM(Scores!X16:AG16)</f>
        <v>0</v>
      </c>
    </row>
    <row r="17" spans="1:6">
      <c r="A17" s="2" t="s">
        <v>106</v>
      </c>
      <c r="B17" s="3">
        <v>14</v>
      </c>
      <c r="C17" s="3">
        <v>18</v>
      </c>
      <c r="D17" s="18">
        <f>SUM(Scores!D17:M17)</f>
        <v>9</v>
      </c>
      <c r="E17" s="18">
        <f>SUM(Scores!N17:W17)</f>
        <v>4</v>
      </c>
      <c r="F17" s="18">
        <f>SUM(Scores!X17:AG17)</f>
        <v>0</v>
      </c>
    </row>
    <row r="18" spans="1:6">
      <c r="A18" s="2" t="s">
        <v>84</v>
      </c>
      <c r="B18" s="3">
        <v>17</v>
      </c>
      <c r="C18" s="3">
        <v>20</v>
      </c>
      <c r="D18" s="18">
        <f>SUM(Scores!D18:M18)</f>
        <v>8</v>
      </c>
      <c r="E18" s="18">
        <f>SUM(Scores!N18:W18)</f>
        <v>6</v>
      </c>
      <c r="F18" s="18">
        <f>SUM(Scores!X18:AG18)</f>
        <v>2</v>
      </c>
    </row>
    <row r="19" spans="1:6">
      <c r="A19" s="2" t="s">
        <v>121</v>
      </c>
      <c r="B19" s="3">
        <v>11</v>
      </c>
      <c r="C19" s="3">
        <v>18</v>
      </c>
      <c r="D19" s="18">
        <f>SUM(Scores!D19:M19)</f>
        <v>8</v>
      </c>
      <c r="E19" s="18">
        <f>SUM(Scores!N19:W19)</f>
        <v>2</v>
      </c>
      <c r="F19" s="18">
        <f>SUM(Scores!X19:AG19)</f>
        <v>0</v>
      </c>
    </row>
    <row r="20" spans="1:6">
      <c r="A20" s="2" t="s">
        <v>37</v>
      </c>
      <c r="B20" s="3">
        <v>27</v>
      </c>
      <c r="C20" s="3">
        <v>26</v>
      </c>
      <c r="D20" s="18">
        <f>SUM(Scores!D20:M20)</f>
        <v>10</v>
      </c>
      <c r="E20" s="18">
        <f>SUM(Scores!N20:W20)</f>
        <v>10</v>
      </c>
      <c r="F20" s="18">
        <f>SUM(Scores!X20:AG20)</f>
        <v>6</v>
      </c>
    </row>
    <row r="21" spans="1:6">
      <c r="A21" s="2" t="s">
        <v>132</v>
      </c>
      <c r="B21" s="3">
        <v>9</v>
      </c>
      <c r="C21" s="3">
        <v>18</v>
      </c>
      <c r="D21" s="18">
        <f>SUM(Scores!D21:M21)</f>
        <v>6</v>
      </c>
      <c r="E21" s="18">
        <f>SUM(Scores!N21:W21)</f>
        <v>2</v>
      </c>
      <c r="F21" s="18">
        <f>SUM(Scores!X21:AG21)</f>
        <v>0</v>
      </c>
    </row>
    <row r="22" spans="1:6">
      <c r="A22" s="2" t="s">
        <v>113</v>
      </c>
      <c r="B22" s="3">
        <v>13</v>
      </c>
      <c r="C22" s="3">
        <v>18</v>
      </c>
      <c r="D22" s="18">
        <f>SUM(Scores!D22:M22)</f>
        <v>10</v>
      </c>
      <c r="E22" s="18">
        <f>SUM(Scores!N22:W22)</f>
        <v>2</v>
      </c>
      <c r="F22" s="18">
        <f>SUM(Scores!X22:AG22)</f>
        <v>0</v>
      </c>
    </row>
    <row r="23" spans="1:6">
      <c r="A23" s="2" t="s">
        <v>59</v>
      </c>
      <c r="B23" s="3">
        <v>20</v>
      </c>
      <c r="C23" s="3">
        <v>19</v>
      </c>
      <c r="D23" s="18">
        <f>SUM(Scores!D23:M23)</f>
        <v>9</v>
      </c>
      <c r="E23" s="18">
        <f>SUM(Scores!N23:W23)</f>
        <v>8</v>
      </c>
      <c r="F23" s="18">
        <f>SUM(Scores!X23:AG23)</f>
        <v>2</v>
      </c>
    </row>
    <row r="24" spans="1:6">
      <c r="A24" s="2" t="s">
        <v>151</v>
      </c>
      <c r="B24" s="3">
        <v>2</v>
      </c>
      <c r="C24" s="3">
        <v>18</v>
      </c>
      <c r="D24" s="18">
        <f>SUM(Scores!D24:M24)</f>
        <v>2</v>
      </c>
      <c r="E24" s="18">
        <f>SUM(Scores!N24:W24)</f>
        <v>0</v>
      </c>
      <c r="F24" s="18">
        <f>SUM(Scores!X24:AG24)</f>
        <v>0</v>
      </c>
    </row>
    <row r="25" spans="1:6">
      <c r="A25" s="2" t="s">
        <v>49</v>
      </c>
      <c r="B25" s="3">
        <v>22</v>
      </c>
      <c r="C25" s="3">
        <v>27</v>
      </c>
      <c r="D25" s="18">
        <f>SUM(Scores!D25:M25)</f>
        <v>10</v>
      </c>
      <c r="E25" s="18">
        <f>SUM(Scores!N25:W25)</f>
        <v>9</v>
      </c>
      <c r="F25" s="18">
        <f>SUM(Scores!X25:AG25)</f>
        <v>2</v>
      </c>
    </row>
    <row r="26" spans="1:6">
      <c r="A26" s="2" t="s">
        <v>122</v>
      </c>
      <c r="B26" s="3">
        <v>11</v>
      </c>
      <c r="C26" s="3">
        <v>18</v>
      </c>
      <c r="D26" s="18">
        <f>SUM(Scores!D26:M26)</f>
        <v>8</v>
      </c>
      <c r="E26" s="18">
        <f>SUM(Scores!N26:W26)</f>
        <v>2</v>
      </c>
      <c r="F26" s="18">
        <f>SUM(Scores!X26:AG26)</f>
        <v>0</v>
      </c>
    </row>
    <row r="27" spans="1:6">
      <c r="A27" s="2" t="s">
        <v>146</v>
      </c>
      <c r="B27" s="3">
        <v>5</v>
      </c>
      <c r="C27" s="3">
        <v>18</v>
      </c>
      <c r="D27" s="18">
        <f>SUM(Scores!D27:M27)</f>
        <v>2</v>
      </c>
      <c r="E27" s="18">
        <f>SUM(Scores!N27:W27)</f>
        <v>1</v>
      </c>
      <c r="F27" s="18">
        <f>SUM(Scores!X27:AG27)</f>
        <v>1</v>
      </c>
    </row>
    <row r="28" spans="1:6">
      <c r="A28" s="2" t="s">
        <v>108</v>
      </c>
      <c r="B28" s="3">
        <v>14</v>
      </c>
      <c r="C28" s="3">
        <v>18</v>
      </c>
      <c r="D28" s="18">
        <f>SUM(Scores!D28:M28)</f>
        <v>8</v>
      </c>
      <c r="E28" s="18">
        <f>SUM(Scores!N28:W28)</f>
        <v>4</v>
      </c>
      <c r="F28" s="18">
        <f>SUM(Scores!X28:AG28)</f>
        <v>1</v>
      </c>
    </row>
    <row r="29" spans="1:6">
      <c r="A29" s="2" t="s">
        <v>34</v>
      </c>
      <c r="B29" s="3">
        <v>30</v>
      </c>
      <c r="C29" s="3">
        <v>30</v>
      </c>
      <c r="D29" s="18">
        <f>SUM(Scores!D29:M29)</f>
        <v>10</v>
      </c>
      <c r="E29" s="18">
        <f>SUM(Scores!N29:W29)</f>
        <v>10</v>
      </c>
      <c r="F29" s="18">
        <f>SUM(Scores!X29:AG29)</f>
        <v>9</v>
      </c>
    </row>
    <row r="30" spans="1:6">
      <c r="A30" s="2" t="s">
        <v>112</v>
      </c>
      <c r="B30" s="3">
        <v>13</v>
      </c>
      <c r="C30" s="3">
        <v>18</v>
      </c>
      <c r="D30" s="18">
        <f>SUM(Scores!D30:M30)</f>
        <v>9</v>
      </c>
      <c r="E30" s="18">
        <f>SUM(Scores!N30:W30)</f>
        <v>2</v>
      </c>
      <c r="F30" s="18">
        <f>SUM(Scores!X30:AG30)</f>
        <v>1</v>
      </c>
    </row>
    <row r="31" spans="1:6">
      <c r="A31" s="2" t="s">
        <v>144</v>
      </c>
      <c r="B31" s="3">
        <v>6</v>
      </c>
      <c r="C31" s="3">
        <v>18</v>
      </c>
      <c r="D31" s="18">
        <f>SUM(Scores!D31:M31)</f>
        <v>2</v>
      </c>
      <c r="E31" s="18">
        <f>SUM(Scores!N31:W31)</f>
        <v>3</v>
      </c>
      <c r="F31" s="18">
        <f>SUM(Scores!X31:AG31)</f>
        <v>0</v>
      </c>
    </row>
    <row r="32" spans="1:6">
      <c r="A32" s="2" t="s">
        <v>124</v>
      </c>
      <c r="B32" s="3">
        <v>11</v>
      </c>
      <c r="C32" s="3">
        <v>18</v>
      </c>
      <c r="D32" s="18">
        <f>SUM(Scores!D32:M32)</f>
        <v>8</v>
      </c>
      <c r="E32" s="18">
        <f>SUM(Scores!N32:W32)</f>
        <v>2</v>
      </c>
      <c r="F32" s="18">
        <f>SUM(Scores!X32:AG32)</f>
        <v>1</v>
      </c>
    </row>
    <row r="33" spans="1:6">
      <c r="A33" s="2" t="s">
        <v>94</v>
      </c>
      <c r="B33" s="3">
        <v>16</v>
      </c>
      <c r="C33" s="3">
        <v>18</v>
      </c>
      <c r="D33" s="18">
        <f>SUM(Scores!D33:M33)</f>
        <v>8</v>
      </c>
      <c r="E33" s="18">
        <f>SUM(Scores!N33:W33)</f>
        <v>7</v>
      </c>
      <c r="F33" s="18">
        <f>SUM(Scores!X33:AG33)</f>
        <v>0</v>
      </c>
    </row>
    <row r="34" spans="1:6">
      <c r="A34" s="2" t="s">
        <v>139</v>
      </c>
      <c r="B34" s="3">
        <v>7</v>
      </c>
      <c r="C34" s="3">
        <v>18</v>
      </c>
      <c r="D34" s="18">
        <f>SUM(Scores!D34:M34)</f>
        <v>6</v>
      </c>
      <c r="E34" s="18">
        <f>SUM(Scores!N34:W34)</f>
        <v>0</v>
      </c>
      <c r="F34" s="18">
        <f>SUM(Scores!X34:AG34)</f>
        <v>1</v>
      </c>
    </row>
    <row r="35" spans="1:6">
      <c r="A35" s="2" t="s">
        <v>125</v>
      </c>
      <c r="B35" s="3">
        <v>11</v>
      </c>
      <c r="C35" s="3">
        <v>18</v>
      </c>
      <c r="D35" s="18">
        <f>SUM(Scores!D35:M35)</f>
        <v>5</v>
      </c>
      <c r="E35" s="18">
        <f>SUM(Scores!N35:W35)</f>
        <v>4</v>
      </c>
      <c r="F35" s="18">
        <f>SUM(Scores!X35:AG35)</f>
        <v>1</v>
      </c>
    </row>
    <row r="36" spans="1:6">
      <c r="A36" s="2" t="s">
        <v>61</v>
      </c>
      <c r="B36" s="3">
        <v>20</v>
      </c>
      <c r="C36" s="3">
        <v>18</v>
      </c>
      <c r="D36" s="18">
        <f>SUM(Scores!D36:M36)</f>
        <v>10</v>
      </c>
      <c r="E36" s="18">
        <f>SUM(Scores!N36:W36)</f>
        <v>6</v>
      </c>
      <c r="F36" s="18">
        <f>SUM(Scores!X36:AG36)</f>
        <v>3</v>
      </c>
    </row>
    <row r="37" spans="1:6">
      <c r="A37" s="2" t="s">
        <v>85</v>
      </c>
      <c r="B37" s="3">
        <v>17</v>
      </c>
      <c r="C37" s="3">
        <v>18</v>
      </c>
      <c r="D37" s="18">
        <f>SUM(Scores!D37:M37)</f>
        <v>10</v>
      </c>
      <c r="E37" s="18">
        <f>SUM(Scores!N37:W37)</f>
        <v>5</v>
      </c>
      <c r="F37" s="18">
        <f>SUM(Scores!X37:AG37)</f>
        <v>1</v>
      </c>
    </row>
    <row r="38" spans="1:6">
      <c r="A38" s="2" t="s">
        <v>104</v>
      </c>
      <c r="B38" s="3">
        <v>15</v>
      </c>
      <c r="C38" s="3">
        <v>20</v>
      </c>
      <c r="D38" s="18">
        <f>SUM(Scores!D38:M38)</f>
        <v>9</v>
      </c>
      <c r="E38" s="18">
        <f>SUM(Scores!N38:W38)</f>
        <v>3</v>
      </c>
      <c r="F38" s="18">
        <f>SUM(Scores!X38:AG38)</f>
        <v>2</v>
      </c>
    </row>
    <row r="39" spans="1:6">
      <c r="A39" s="2" t="s">
        <v>109</v>
      </c>
      <c r="B39" s="3">
        <v>14</v>
      </c>
      <c r="C39" s="3">
        <v>18</v>
      </c>
      <c r="D39" s="18">
        <f>SUM(Scores!D39:M39)</f>
        <v>8</v>
      </c>
      <c r="E39" s="18">
        <f>SUM(Scores!N39:W39)</f>
        <v>4</v>
      </c>
      <c r="F39" s="18">
        <f>SUM(Scores!X39:AG39)</f>
        <v>1</v>
      </c>
    </row>
    <row r="40" spans="1:6">
      <c r="A40" s="2" t="s">
        <v>75</v>
      </c>
      <c r="B40" s="3">
        <v>18</v>
      </c>
      <c r="C40" s="3">
        <v>21</v>
      </c>
      <c r="D40" s="18">
        <f>SUM(Scores!D40:M40)</f>
        <v>9</v>
      </c>
      <c r="E40" s="18">
        <f>SUM(Scores!N40:W40)</f>
        <v>7</v>
      </c>
      <c r="F40" s="18">
        <f>SUM(Scores!X40:AG40)</f>
        <v>1</v>
      </c>
    </row>
    <row r="41" spans="1:6">
      <c r="A41" s="2" t="s">
        <v>110</v>
      </c>
      <c r="B41" s="3">
        <v>14</v>
      </c>
      <c r="C41" s="3">
        <v>18</v>
      </c>
      <c r="D41" s="18">
        <f>SUM(Scores!D41:M41)</f>
        <v>9</v>
      </c>
      <c r="E41" s="18">
        <f>SUM(Scores!N41:W41)</f>
        <v>4</v>
      </c>
      <c r="F41" s="18">
        <f>SUM(Scores!X41:AG41)</f>
        <v>1</v>
      </c>
    </row>
    <row r="42" spans="1:6">
      <c r="A42" s="2" t="s">
        <v>102</v>
      </c>
      <c r="B42" s="3">
        <v>15</v>
      </c>
      <c r="C42" s="3">
        <v>18</v>
      </c>
      <c r="D42" s="18">
        <f>SUM(Scores!D42:M42)</f>
        <v>9</v>
      </c>
      <c r="E42" s="18">
        <f>SUM(Scores!N42:W42)</f>
        <v>3</v>
      </c>
      <c r="F42" s="18">
        <f>SUM(Scores!X42:AG42)</f>
        <v>2</v>
      </c>
    </row>
    <row r="43" spans="1:6">
      <c r="A43" s="2" t="s">
        <v>77</v>
      </c>
      <c r="B43" s="3">
        <v>17</v>
      </c>
      <c r="C43" s="3">
        <v>20</v>
      </c>
      <c r="D43" s="18">
        <f>SUM(Scores!D43:M43)</f>
        <v>10</v>
      </c>
      <c r="E43" s="18">
        <f>SUM(Scores!N43:W43)</f>
        <v>4</v>
      </c>
      <c r="F43" s="18">
        <f>SUM(Scores!X43:AG43)</f>
        <v>2</v>
      </c>
    </row>
    <row r="44" spans="1:6">
      <c r="A44" s="2" t="s">
        <v>46</v>
      </c>
      <c r="B44" s="3">
        <v>23</v>
      </c>
      <c r="C44" s="3">
        <v>26</v>
      </c>
      <c r="D44" s="18">
        <f>SUM(Scores!D44:M44)</f>
        <v>10</v>
      </c>
      <c r="E44" s="18">
        <f>SUM(Scores!N44:W44)</f>
        <v>9</v>
      </c>
      <c r="F44" s="18">
        <f>SUM(Scores!X44:AG44)</f>
        <v>3</v>
      </c>
    </row>
    <row r="45" spans="1:6">
      <c r="A45" s="2" t="s">
        <v>140</v>
      </c>
      <c r="B45" s="3">
        <v>6</v>
      </c>
      <c r="C45" s="3">
        <v>18</v>
      </c>
      <c r="D45" s="18">
        <f>SUM(Scores!D45:M45)</f>
        <v>4</v>
      </c>
      <c r="E45" s="18">
        <f>SUM(Scores!N45:W45)</f>
        <v>1</v>
      </c>
      <c r="F45" s="18">
        <f>SUM(Scores!X45:AG45)</f>
        <v>0</v>
      </c>
    </row>
    <row r="46" spans="1:6">
      <c r="A46" s="2" t="s">
        <v>57</v>
      </c>
      <c r="B46" s="3">
        <v>21</v>
      </c>
      <c r="C46" s="3">
        <v>24</v>
      </c>
      <c r="D46" s="18">
        <f>SUM(Scores!D46:M46)</f>
        <v>10</v>
      </c>
      <c r="E46" s="18">
        <f>SUM(Scores!N46:W46)</f>
        <v>7</v>
      </c>
      <c r="F46" s="18">
        <f>SUM(Scores!X46:AG46)</f>
        <v>3</v>
      </c>
    </row>
    <row r="47" spans="1:6">
      <c r="A47" s="2" t="s">
        <v>40</v>
      </c>
      <c r="B47" s="3">
        <v>26</v>
      </c>
      <c r="C47" s="3">
        <v>30</v>
      </c>
      <c r="D47" s="18">
        <f>SUM(Scores!D47:M47)</f>
        <v>10</v>
      </c>
      <c r="E47" s="18">
        <f>SUM(Scores!N47:W47)</f>
        <v>8</v>
      </c>
      <c r="F47" s="18">
        <f>SUM(Scores!X47:AG47)</f>
        <v>7</v>
      </c>
    </row>
    <row r="48" spans="1:6">
      <c r="A48" s="2" t="s">
        <v>130</v>
      </c>
      <c r="B48" s="3">
        <v>10</v>
      </c>
      <c r="C48" s="3">
        <v>18</v>
      </c>
      <c r="D48" s="18">
        <f>SUM(Scores!D48:M48)</f>
        <v>7</v>
      </c>
      <c r="E48" s="18">
        <f>SUM(Scores!N48:W48)</f>
        <v>3</v>
      </c>
      <c r="F48" s="18">
        <f>SUM(Scores!X48:AG48)</f>
        <v>0</v>
      </c>
    </row>
    <row r="49" spans="1:6">
      <c r="A49" s="2" t="s">
        <v>95</v>
      </c>
      <c r="B49" s="3">
        <v>16</v>
      </c>
      <c r="C49" s="3">
        <v>18</v>
      </c>
      <c r="D49" s="18">
        <f>SUM(Scores!D49:M49)</f>
        <v>8</v>
      </c>
      <c r="E49" s="18">
        <f>SUM(Scores!N49:W49)</f>
        <v>6</v>
      </c>
      <c r="F49" s="18">
        <f>SUM(Scores!X49:AG49)</f>
        <v>1</v>
      </c>
    </row>
    <row r="50" spans="1:6">
      <c r="A50" s="2" t="s">
        <v>54</v>
      </c>
      <c r="B50" s="3">
        <v>21</v>
      </c>
      <c r="C50" s="3">
        <v>25</v>
      </c>
      <c r="D50" s="18">
        <f>SUM(Scores!D50:M50)</f>
        <v>10</v>
      </c>
      <c r="E50" s="18">
        <f>SUM(Scores!N50:W50)</f>
        <v>5</v>
      </c>
      <c r="F50" s="18">
        <f>SUM(Scores!X50:AG50)</f>
        <v>5</v>
      </c>
    </row>
    <row r="51" spans="1:6">
      <c r="A51" s="2" t="s">
        <v>82</v>
      </c>
      <c r="B51" s="3">
        <v>17</v>
      </c>
      <c r="C51" s="3">
        <v>18</v>
      </c>
      <c r="D51" s="18">
        <f>SUM(Scores!D51:M51)</f>
        <v>9</v>
      </c>
      <c r="E51" s="18">
        <f>SUM(Scores!N51:W51)</f>
        <v>5</v>
      </c>
      <c r="F51" s="18">
        <f>SUM(Scores!X51:AG51)</f>
        <v>2</v>
      </c>
    </row>
    <row r="52" spans="1:6">
      <c r="A52" s="2" t="s">
        <v>116</v>
      </c>
      <c r="B52" s="3">
        <v>12</v>
      </c>
      <c r="C52" s="3">
        <v>18</v>
      </c>
      <c r="D52" s="18">
        <f>SUM(Scores!D52:M52)</f>
        <v>7</v>
      </c>
      <c r="E52" s="18">
        <f>SUM(Scores!N52:W52)</f>
        <v>2</v>
      </c>
      <c r="F52" s="18">
        <f>SUM(Scores!X52:AG52)</f>
        <v>2</v>
      </c>
    </row>
    <row r="53" spans="1:6">
      <c r="A53" s="2" t="s">
        <v>133</v>
      </c>
      <c r="B53" s="3">
        <v>9</v>
      </c>
      <c r="C53" s="3">
        <v>18</v>
      </c>
      <c r="D53" s="18">
        <f>SUM(Scores!D53:M53)</f>
        <v>6</v>
      </c>
      <c r="E53" s="18">
        <f>SUM(Scores!N53:W53)</f>
        <v>2</v>
      </c>
      <c r="F53" s="18">
        <f>SUM(Scores!X53:AG53)</f>
        <v>0</v>
      </c>
    </row>
    <row r="54" spans="1:6">
      <c r="A54" s="2" t="s">
        <v>148</v>
      </c>
      <c r="B54" s="3">
        <v>4</v>
      </c>
      <c r="C54" s="3">
        <v>18</v>
      </c>
      <c r="D54" s="18">
        <f>SUM(Scores!D54:M54)</f>
        <v>2</v>
      </c>
      <c r="E54" s="18">
        <f>SUM(Scores!N54:W54)</f>
        <v>2</v>
      </c>
      <c r="F54" s="18">
        <f>SUM(Scores!X54:AG54)</f>
        <v>0</v>
      </c>
    </row>
    <row r="55" spans="1:6">
      <c r="A55" s="2" t="s">
        <v>64</v>
      </c>
      <c r="B55" s="3">
        <v>19</v>
      </c>
      <c r="C55" s="3">
        <v>19</v>
      </c>
      <c r="D55" s="18">
        <f>SUM(Scores!D55:M55)</f>
        <v>9</v>
      </c>
      <c r="E55" s="18">
        <f>SUM(Scores!N55:W55)</f>
        <v>8</v>
      </c>
      <c r="F55" s="18">
        <f>SUM(Scores!X55:AG55)</f>
        <v>1</v>
      </c>
    </row>
    <row r="56" spans="1:6">
      <c r="A56" s="2" t="s">
        <v>153</v>
      </c>
      <c r="B56" s="3">
        <v>0</v>
      </c>
      <c r="C56" s="3">
        <v>18</v>
      </c>
      <c r="D56" s="18">
        <f>SUM(Scores!D56:M56)</f>
        <v>0</v>
      </c>
      <c r="E56" s="18">
        <f>SUM(Scores!N56:W56)</f>
        <v>0</v>
      </c>
      <c r="F56" s="18">
        <f>SUM(Scores!X56:AG56)</f>
        <v>0</v>
      </c>
    </row>
    <row r="57" spans="1:6">
      <c r="A57" s="2" t="s">
        <v>65</v>
      </c>
      <c r="B57" s="3">
        <v>19</v>
      </c>
      <c r="C57" s="3">
        <v>19</v>
      </c>
      <c r="D57" s="18">
        <f>SUM(Scores!D57:M57)</f>
        <v>9</v>
      </c>
      <c r="E57" s="18">
        <f>SUM(Scores!N57:W57)</f>
        <v>8</v>
      </c>
      <c r="F57" s="18">
        <f>SUM(Scores!X57:AG57)</f>
        <v>1</v>
      </c>
    </row>
    <row r="58" spans="1:6">
      <c r="A58" s="2" t="s">
        <v>56</v>
      </c>
      <c r="B58" s="3">
        <v>21</v>
      </c>
      <c r="C58" s="3">
        <v>23</v>
      </c>
      <c r="D58" s="18">
        <f>SUM(Scores!D58:M58)</f>
        <v>9</v>
      </c>
      <c r="E58" s="18">
        <f>SUM(Scores!N58:W58)</f>
        <v>8</v>
      </c>
      <c r="F58" s="18">
        <f>SUM(Scores!X58:AG58)</f>
        <v>3</v>
      </c>
    </row>
    <row r="59" spans="1:6">
      <c r="A59" s="2" t="s">
        <v>136</v>
      </c>
      <c r="B59" s="3">
        <v>8</v>
      </c>
      <c r="C59" s="3">
        <v>18</v>
      </c>
      <c r="D59" s="18">
        <f>SUM(Scores!D59:M59)</f>
        <v>5</v>
      </c>
      <c r="E59" s="18">
        <f>SUM(Scores!N59:W59)</f>
        <v>2</v>
      </c>
      <c r="F59" s="18">
        <f>SUM(Scores!X59:AG59)</f>
        <v>0</v>
      </c>
    </row>
    <row r="60" spans="1:6">
      <c r="A60" s="2" t="s">
        <v>74</v>
      </c>
      <c r="B60" s="3">
        <v>18</v>
      </c>
      <c r="C60" s="3">
        <v>23</v>
      </c>
      <c r="D60" s="18">
        <f>SUM(Scores!D60:M60)</f>
        <v>9</v>
      </c>
      <c r="E60" s="18">
        <f>SUM(Scores!N60:W60)</f>
        <v>6</v>
      </c>
      <c r="F60" s="18">
        <f>SUM(Scores!X60:AG60)</f>
        <v>2</v>
      </c>
    </row>
    <row r="61" spans="1:6">
      <c r="A61" s="2" t="s">
        <v>66</v>
      </c>
      <c r="B61" s="3">
        <v>19</v>
      </c>
      <c r="C61" s="3">
        <v>19</v>
      </c>
      <c r="D61" s="18">
        <f>SUM(Scores!D61:M61)</f>
        <v>8</v>
      </c>
      <c r="E61" s="18">
        <f>SUM(Scores!N61:W61)</f>
        <v>6</v>
      </c>
      <c r="F61" s="18">
        <f>SUM(Scores!X61:AG61)</f>
        <v>4</v>
      </c>
    </row>
    <row r="62" spans="1:6">
      <c r="A62" s="2" t="s">
        <v>55</v>
      </c>
      <c r="B62" s="3">
        <v>21</v>
      </c>
      <c r="C62" s="3">
        <v>18</v>
      </c>
      <c r="D62" s="18">
        <f>SUM(Scores!D62:M62)</f>
        <v>9</v>
      </c>
      <c r="E62" s="18">
        <f>SUM(Scores!N62:W62)</f>
        <v>9</v>
      </c>
      <c r="F62" s="18">
        <f>SUM(Scores!X62:AG62)</f>
        <v>2</v>
      </c>
    </row>
    <row r="63" spans="1:6">
      <c r="A63" s="2" t="s">
        <v>123</v>
      </c>
      <c r="B63" s="3">
        <v>11</v>
      </c>
      <c r="C63" s="3">
        <v>18</v>
      </c>
      <c r="D63" s="18">
        <f>SUM(Scores!D63:M63)</f>
        <v>6</v>
      </c>
      <c r="E63" s="18">
        <f>SUM(Scores!N63:W63)</f>
        <v>3</v>
      </c>
      <c r="F63" s="18">
        <f>SUM(Scores!X63:AG63)</f>
        <v>1</v>
      </c>
    </row>
    <row r="64" spans="1:6">
      <c r="A64" s="2" t="s">
        <v>88</v>
      </c>
      <c r="B64" s="3">
        <v>16</v>
      </c>
      <c r="C64" s="3">
        <v>18</v>
      </c>
      <c r="D64" s="18">
        <f>SUM(Scores!D64:M64)</f>
        <v>10</v>
      </c>
      <c r="E64" s="18">
        <f>SUM(Scores!N64:W64)</f>
        <v>3</v>
      </c>
      <c r="F64" s="18">
        <f>SUM(Scores!X64:AG64)</f>
        <v>2</v>
      </c>
    </row>
    <row r="65" spans="1:6">
      <c r="A65" s="2" t="s">
        <v>97</v>
      </c>
      <c r="B65" s="3">
        <v>15</v>
      </c>
      <c r="C65" s="3">
        <v>18</v>
      </c>
      <c r="D65" s="18">
        <f>SUM(Scores!D65:M65)</f>
        <v>9</v>
      </c>
      <c r="E65" s="18">
        <f>SUM(Scores!N65:W65)</f>
        <v>3</v>
      </c>
      <c r="F65" s="18">
        <f>SUM(Scores!X65:AG65)</f>
        <v>2</v>
      </c>
    </row>
    <row r="66" spans="1:6">
      <c r="A66" s="2" t="s">
        <v>129</v>
      </c>
      <c r="B66" s="3">
        <v>10</v>
      </c>
      <c r="C66" s="3">
        <v>18</v>
      </c>
      <c r="D66" s="18">
        <f>SUM(Scores!D66:M66)</f>
        <v>6</v>
      </c>
      <c r="E66" s="18">
        <f>SUM(Scores!N66:W66)</f>
        <v>2</v>
      </c>
      <c r="F66" s="18">
        <f>SUM(Scores!X66:AG66)</f>
        <v>1</v>
      </c>
    </row>
    <row r="67" spans="1:6">
      <c r="A67" s="2" t="s">
        <v>87</v>
      </c>
      <c r="B67" s="3">
        <v>16</v>
      </c>
      <c r="C67" s="3">
        <v>18</v>
      </c>
      <c r="D67" s="18">
        <f>SUM(Scores!D67:M67)</f>
        <v>7</v>
      </c>
      <c r="E67" s="18">
        <f>SUM(Scores!N67:W67)</f>
        <v>5</v>
      </c>
      <c r="F67" s="18">
        <f>SUM(Scores!X67:AG67)</f>
        <v>3</v>
      </c>
    </row>
    <row r="68" spans="1:6">
      <c r="A68" s="2" t="s">
        <v>71</v>
      </c>
      <c r="B68" s="3">
        <v>18</v>
      </c>
      <c r="C68" s="3">
        <v>21</v>
      </c>
      <c r="D68" s="18">
        <f>SUM(Scores!D68:M68)</f>
        <v>10</v>
      </c>
      <c r="E68" s="18">
        <f>SUM(Scores!N68:W68)</f>
        <v>3</v>
      </c>
      <c r="F68" s="18">
        <f>SUM(Scores!X68:AG68)</f>
        <v>4</v>
      </c>
    </row>
    <row r="69" spans="1:6">
      <c r="A69" s="2" t="s">
        <v>111</v>
      </c>
      <c r="B69" s="3">
        <v>13</v>
      </c>
      <c r="C69" s="3">
        <v>18</v>
      </c>
      <c r="D69" s="18">
        <f>SUM(Scores!D69:M69)</f>
        <v>5</v>
      </c>
      <c r="E69" s="18">
        <f>SUM(Scores!N69:W69)</f>
        <v>6</v>
      </c>
      <c r="F69" s="18">
        <f>SUM(Scores!X69:AG69)</f>
        <v>1</v>
      </c>
    </row>
    <row r="70" spans="1:6">
      <c r="A70" s="2" t="s">
        <v>47</v>
      </c>
      <c r="B70" s="3">
        <v>23</v>
      </c>
      <c r="C70" s="3">
        <v>28</v>
      </c>
      <c r="D70" s="18">
        <f>SUM(Scores!D70:M70)</f>
        <v>10</v>
      </c>
      <c r="E70" s="18">
        <f>SUM(Scores!N70:W70)</f>
        <v>8</v>
      </c>
      <c r="F70" s="18">
        <f>SUM(Scores!X70:AG70)</f>
        <v>4</v>
      </c>
    </row>
    <row r="71" spans="1:6">
      <c r="A71" s="2" t="s">
        <v>62</v>
      </c>
      <c r="B71" s="3">
        <v>19</v>
      </c>
      <c r="C71" s="3">
        <v>18</v>
      </c>
      <c r="D71" s="18">
        <f>SUM(Scores!D71:M71)</f>
        <v>9</v>
      </c>
      <c r="E71" s="18">
        <f>SUM(Scores!N71:W71)</f>
        <v>7</v>
      </c>
      <c r="F71" s="18">
        <f>SUM(Scores!X71:AG71)</f>
        <v>2</v>
      </c>
    </row>
    <row r="72" spans="1:6">
      <c r="A72" s="2" t="s">
        <v>86</v>
      </c>
      <c r="B72" s="3">
        <v>16</v>
      </c>
      <c r="C72" s="3">
        <v>18</v>
      </c>
      <c r="D72" s="18">
        <f>SUM(Scores!D72:M72)</f>
        <v>8</v>
      </c>
      <c r="E72" s="18">
        <f>SUM(Scores!N72:W72)</f>
        <v>6</v>
      </c>
      <c r="F72" s="18">
        <f>SUM(Scores!X72:AG72)</f>
        <v>1</v>
      </c>
    </row>
    <row r="73" spans="1:6">
      <c r="A73" s="2" t="s">
        <v>63</v>
      </c>
      <c r="B73" s="3">
        <v>19</v>
      </c>
      <c r="C73" s="3">
        <v>21</v>
      </c>
      <c r="D73" s="18">
        <f>SUM(Scores!D73:M73)</f>
        <v>10</v>
      </c>
      <c r="E73" s="18">
        <f>SUM(Scores!N73:W73)</f>
        <v>4</v>
      </c>
      <c r="F73" s="18">
        <f>SUM(Scores!X73:AG73)</f>
        <v>4</v>
      </c>
    </row>
    <row r="74" spans="1:6">
      <c r="A74" s="2" t="s">
        <v>89</v>
      </c>
      <c r="B74" s="3">
        <v>16</v>
      </c>
      <c r="C74" s="3">
        <v>21</v>
      </c>
      <c r="D74" s="18">
        <f>SUM(Scores!D74:M74)</f>
        <v>9</v>
      </c>
      <c r="E74" s="18">
        <f>SUM(Scores!N74:W74)</f>
        <v>5</v>
      </c>
      <c r="F74" s="18">
        <f>SUM(Scores!X74:AG74)</f>
        <v>1</v>
      </c>
    </row>
    <row r="75" spans="1:6">
      <c r="A75" s="2" t="s">
        <v>118</v>
      </c>
      <c r="B75" s="3">
        <v>12</v>
      </c>
      <c r="C75" s="3">
        <v>18</v>
      </c>
      <c r="D75" s="18">
        <f>SUM(Scores!D75:M75)</f>
        <v>9</v>
      </c>
      <c r="E75" s="18">
        <f>SUM(Scores!N75:W75)</f>
        <v>2</v>
      </c>
      <c r="F75" s="18">
        <f>SUM(Scores!X75:AG75)</f>
        <v>1</v>
      </c>
    </row>
    <row r="76" spans="1:6">
      <c r="A76" s="2" t="s">
        <v>105</v>
      </c>
      <c r="B76" s="3">
        <v>15</v>
      </c>
      <c r="C76" s="3">
        <v>18</v>
      </c>
      <c r="D76" s="18">
        <f>SUM(Scores!D76:M76)</f>
        <v>9</v>
      </c>
      <c r="E76" s="18">
        <f>SUM(Scores!N76:W76)</f>
        <v>3</v>
      </c>
      <c r="F76" s="18">
        <f>SUM(Scores!X76:AG76)</f>
        <v>2</v>
      </c>
    </row>
    <row r="77" spans="1:6">
      <c r="A77" s="2" t="s">
        <v>39</v>
      </c>
      <c r="B77" s="3">
        <v>26</v>
      </c>
      <c r="C77" s="3">
        <v>22</v>
      </c>
      <c r="D77" s="18">
        <f>SUM(Scores!D77:M77)</f>
        <v>10</v>
      </c>
      <c r="E77" s="18">
        <f>SUM(Scores!N77:W77)</f>
        <v>8</v>
      </c>
      <c r="F77" s="18">
        <f>SUM(Scores!X77:AG77)</f>
        <v>7</v>
      </c>
    </row>
    <row r="78" spans="1:6">
      <c r="A78" s="2" t="s">
        <v>103</v>
      </c>
      <c r="B78" s="3">
        <v>15</v>
      </c>
      <c r="C78" s="3">
        <v>19</v>
      </c>
      <c r="D78" s="18">
        <f>SUM(Scores!D78:M78)</f>
        <v>9</v>
      </c>
      <c r="E78" s="18">
        <f>SUM(Scores!N78:W78)</f>
        <v>4</v>
      </c>
      <c r="F78" s="18">
        <f>SUM(Scores!X78:AG78)</f>
        <v>1</v>
      </c>
    </row>
    <row r="79" spans="1:6">
      <c r="A79" s="2" t="s">
        <v>91</v>
      </c>
      <c r="B79" s="3">
        <v>16</v>
      </c>
      <c r="C79" s="3">
        <v>18</v>
      </c>
      <c r="D79" s="18">
        <f>SUM(Scores!D79:M79)</f>
        <v>10</v>
      </c>
      <c r="E79" s="18">
        <f>SUM(Scores!N79:W79)</f>
        <v>3</v>
      </c>
      <c r="F79" s="18">
        <f>SUM(Scores!X79:AG79)</f>
        <v>2</v>
      </c>
    </row>
    <row r="80" spans="1:6">
      <c r="A80" s="2" t="s">
        <v>100</v>
      </c>
      <c r="B80" s="3">
        <v>15</v>
      </c>
      <c r="C80" s="3">
        <v>18</v>
      </c>
      <c r="D80" s="18">
        <f>SUM(Scores!D80:M80)</f>
        <v>10</v>
      </c>
      <c r="E80" s="18">
        <f>SUM(Scores!N80:W80)</f>
        <v>2</v>
      </c>
      <c r="F80" s="18">
        <f>SUM(Scores!X80:AG80)</f>
        <v>2</v>
      </c>
    </row>
    <row r="81" spans="1:6">
      <c r="A81" s="2" t="s">
        <v>72</v>
      </c>
      <c r="B81" s="3">
        <v>18</v>
      </c>
      <c r="C81" s="3">
        <v>18</v>
      </c>
      <c r="D81" s="18">
        <f>SUM(Scores!D81:M81)</f>
        <v>10</v>
      </c>
      <c r="E81" s="18">
        <f>SUM(Scores!N81:W81)</f>
        <v>4</v>
      </c>
      <c r="F81" s="18">
        <f>SUM(Scores!X81:AG81)</f>
        <v>3</v>
      </c>
    </row>
    <row r="82" spans="1:6">
      <c r="A82" s="2" t="s">
        <v>115</v>
      </c>
      <c r="B82" s="3">
        <v>12</v>
      </c>
      <c r="C82" s="3">
        <v>18</v>
      </c>
      <c r="D82" s="18">
        <f>SUM(Scores!D82:M82)</f>
        <v>7</v>
      </c>
      <c r="E82" s="18">
        <f>SUM(Scores!N82:W82)</f>
        <v>4</v>
      </c>
      <c r="F82" s="18">
        <f>SUM(Scores!X82:AG82)</f>
        <v>0</v>
      </c>
    </row>
    <row r="83" spans="1:6">
      <c r="A83" s="2" t="s">
        <v>58</v>
      </c>
      <c r="B83" s="3">
        <v>21</v>
      </c>
      <c r="C83" s="3">
        <v>18</v>
      </c>
      <c r="D83" s="18">
        <f>SUM(Scores!D83:M83)</f>
        <v>9</v>
      </c>
      <c r="E83" s="18">
        <f>SUM(Scores!N83:W83)</f>
        <v>8</v>
      </c>
      <c r="F83" s="18">
        <f>SUM(Scores!X83:AG83)</f>
        <v>3</v>
      </c>
    </row>
    <row r="84" spans="1:6">
      <c r="A84" s="2" t="s">
        <v>53</v>
      </c>
      <c r="B84" s="3">
        <v>21</v>
      </c>
      <c r="C84" s="3">
        <v>18</v>
      </c>
      <c r="D84" s="18">
        <f>SUM(Scores!D84:M84)</f>
        <v>9</v>
      </c>
      <c r="E84" s="18">
        <f>SUM(Scores!N84:W84)</f>
        <v>7</v>
      </c>
      <c r="F84" s="18">
        <f>SUM(Scores!X84:AG84)</f>
        <v>4</v>
      </c>
    </row>
    <row r="85" spans="1:6">
      <c r="A85" s="2" t="s">
        <v>143</v>
      </c>
      <c r="B85" s="3">
        <v>6</v>
      </c>
      <c r="C85" s="3">
        <v>18</v>
      </c>
      <c r="D85" s="18">
        <f>SUM(Scores!D85:M85)</f>
        <v>4</v>
      </c>
      <c r="E85" s="18">
        <f>SUM(Scores!N85:W85)</f>
        <v>1</v>
      </c>
      <c r="F85" s="18">
        <f>SUM(Scores!X85:AG85)</f>
        <v>0</v>
      </c>
    </row>
    <row r="86" spans="1:6">
      <c r="A86" s="2" t="s">
        <v>44</v>
      </c>
      <c r="B86" s="3">
        <v>23</v>
      </c>
      <c r="C86" s="3">
        <v>19</v>
      </c>
      <c r="D86" s="18">
        <f>SUM(Scores!D86:M86)</f>
        <v>10</v>
      </c>
      <c r="E86" s="18">
        <f>SUM(Scores!N86:W86)</f>
        <v>8</v>
      </c>
      <c r="F86" s="18">
        <f>SUM(Scores!X86:AG86)</f>
        <v>4</v>
      </c>
    </row>
    <row r="87" spans="1:6">
      <c r="A87" s="2" t="s">
        <v>50</v>
      </c>
      <c r="B87" s="3">
        <v>22</v>
      </c>
      <c r="C87" s="3">
        <v>22</v>
      </c>
      <c r="D87" s="18">
        <f>SUM(Scores!D87:M87)</f>
        <v>10</v>
      </c>
      <c r="E87" s="18">
        <f>SUM(Scores!N87:W87)</f>
        <v>9</v>
      </c>
      <c r="F87" s="18">
        <f>SUM(Scores!X87:AG87)</f>
        <v>2</v>
      </c>
    </row>
    <row r="88" spans="1:6">
      <c r="A88" s="2" t="s">
        <v>137</v>
      </c>
      <c r="B88" s="3">
        <v>8</v>
      </c>
      <c r="C88" s="3">
        <v>18</v>
      </c>
      <c r="D88" s="18">
        <f>SUM(Scores!D88:M88)</f>
        <v>5</v>
      </c>
      <c r="E88" s="18">
        <f>SUM(Scores!N88:W88)</f>
        <v>2</v>
      </c>
      <c r="F88" s="18">
        <f>SUM(Scores!X88:AG88)</f>
        <v>0</v>
      </c>
    </row>
    <row r="89" spans="1:6">
      <c r="A89" s="2" t="s">
        <v>35</v>
      </c>
      <c r="B89" s="3">
        <v>27</v>
      </c>
      <c r="C89" s="3">
        <v>30</v>
      </c>
      <c r="D89" s="18">
        <f>SUM(Scores!D89:M89)</f>
        <v>10</v>
      </c>
      <c r="E89" s="18">
        <f>SUM(Scores!N89:W89)</f>
        <v>10</v>
      </c>
      <c r="F89" s="18">
        <f>SUM(Scores!X89:AG89)</f>
        <v>6</v>
      </c>
    </row>
    <row r="90" spans="1:6">
      <c r="A90" s="2" t="s">
        <v>78</v>
      </c>
      <c r="B90" s="3">
        <v>17</v>
      </c>
      <c r="C90" s="3">
        <v>20</v>
      </c>
      <c r="D90" s="18">
        <f>SUM(Scores!D90:M90)</f>
        <v>10</v>
      </c>
      <c r="E90" s="18">
        <f>SUM(Scores!N90:W90)</f>
        <v>4</v>
      </c>
      <c r="F90" s="18">
        <f>SUM(Scores!X90:AG90)</f>
        <v>2</v>
      </c>
    </row>
    <row r="91" spans="1:6">
      <c r="A91" s="2" t="s">
        <v>76</v>
      </c>
      <c r="B91" s="3">
        <v>18</v>
      </c>
      <c r="C91" s="3">
        <v>18</v>
      </c>
      <c r="D91" s="18">
        <f>SUM(Scores!D91:M91)</f>
        <v>10</v>
      </c>
      <c r="E91" s="18">
        <f>SUM(Scores!N91:W91)</f>
        <v>5</v>
      </c>
      <c r="F91" s="18">
        <f>SUM(Scores!X91:AG91)</f>
        <v>2</v>
      </c>
    </row>
    <row r="92" spans="1:6">
      <c r="A92" s="2" t="s">
        <v>43</v>
      </c>
      <c r="B92" s="3">
        <v>25</v>
      </c>
      <c r="C92" s="3">
        <v>28</v>
      </c>
      <c r="D92" s="18">
        <f>SUM(Scores!D92:M92)</f>
        <v>9</v>
      </c>
      <c r="E92" s="18">
        <f>SUM(Scores!N92:W92)</f>
        <v>9</v>
      </c>
      <c r="F92" s="18">
        <f>SUM(Scores!X92:AG92)</f>
        <v>6</v>
      </c>
    </row>
    <row r="93" spans="1:6">
      <c r="A93" s="2" t="s">
        <v>126</v>
      </c>
      <c r="B93" s="3">
        <v>10</v>
      </c>
      <c r="C93" s="3">
        <v>18</v>
      </c>
      <c r="D93" s="18">
        <f>SUM(Scores!D93:M93)</f>
        <v>8</v>
      </c>
      <c r="E93" s="18">
        <f>SUM(Scores!N93:W93)</f>
        <v>1</v>
      </c>
      <c r="F93" s="18">
        <f>SUM(Scores!X93:AG93)</f>
        <v>0</v>
      </c>
    </row>
    <row r="94" spans="1:6">
      <c r="A94" s="2" t="s">
        <v>131</v>
      </c>
      <c r="B94" s="3">
        <v>9</v>
      </c>
      <c r="C94" s="3">
        <v>18</v>
      </c>
      <c r="D94" s="18">
        <f>SUM(Scores!D94:M94)</f>
        <v>6</v>
      </c>
      <c r="E94" s="18">
        <f>SUM(Scores!N94:W94)</f>
        <v>1</v>
      </c>
      <c r="F94" s="18">
        <f>SUM(Scores!X94:AG94)</f>
        <v>1</v>
      </c>
    </row>
    <row r="95" spans="1:6">
      <c r="A95" s="2" t="s">
        <v>127</v>
      </c>
      <c r="B95" s="3">
        <v>10</v>
      </c>
      <c r="C95" s="3">
        <v>18</v>
      </c>
      <c r="D95" s="18">
        <f>SUM(Scores!D95:M95)</f>
        <v>8</v>
      </c>
      <c r="E95" s="18">
        <f>SUM(Scores!N95:W95)</f>
        <v>2</v>
      </c>
      <c r="F95" s="18">
        <f>SUM(Scores!X95:AG95)</f>
        <v>0</v>
      </c>
    </row>
    <row r="96" spans="1:6">
      <c r="A96" s="2" t="s">
        <v>68</v>
      </c>
      <c r="B96" s="3">
        <v>19</v>
      </c>
      <c r="C96" s="3">
        <v>19</v>
      </c>
      <c r="D96" s="18">
        <f>SUM(Scores!D96:M96)</f>
        <v>9</v>
      </c>
      <c r="E96" s="18">
        <f>SUM(Scores!N96:W96)</f>
        <v>7</v>
      </c>
      <c r="F96" s="18">
        <f>SUM(Scores!X96:AG96)</f>
        <v>2</v>
      </c>
    </row>
    <row r="97" spans="1:6">
      <c r="A97" s="2" t="s">
        <v>90</v>
      </c>
      <c r="B97" s="3">
        <v>16</v>
      </c>
      <c r="C97" s="3">
        <v>18</v>
      </c>
      <c r="D97" s="18">
        <f>SUM(Scores!D97:M97)</f>
        <v>9</v>
      </c>
      <c r="E97" s="18">
        <f>SUM(Scores!N97:W97)</f>
        <v>4</v>
      </c>
      <c r="F97" s="18">
        <f>SUM(Scores!X97:AG97)</f>
        <v>2</v>
      </c>
    </row>
    <row r="98" spans="1:6">
      <c r="A98" s="2" t="s">
        <v>73</v>
      </c>
      <c r="B98" s="3">
        <v>18</v>
      </c>
      <c r="C98" s="3">
        <v>18</v>
      </c>
      <c r="D98" s="18">
        <f>SUM(Scores!D98:M98)</f>
        <v>9</v>
      </c>
      <c r="E98" s="18">
        <f>SUM(Scores!N98:W98)</f>
        <v>6</v>
      </c>
      <c r="F98" s="18">
        <f>SUM(Scores!X98:AG98)</f>
        <v>2</v>
      </c>
    </row>
    <row r="99" spans="1:6">
      <c r="A99" s="2" t="s">
        <v>41</v>
      </c>
      <c r="B99" s="3">
        <v>25</v>
      </c>
      <c r="C99" s="3">
        <v>23</v>
      </c>
      <c r="D99" s="18">
        <f>SUM(Scores!D99:M99)</f>
        <v>9</v>
      </c>
      <c r="E99" s="18">
        <f>SUM(Scores!N99:W99)</f>
        <v>9</v>
      </c>
      <c r="F99" s="18">
        <f>SUM(Scores!X99:AG99)</f>
        <v>6</v>
      </c>
    </row>
    <row r="100" spans="1:6">
      <c r="A100" s="2" t="s">
        <v>134</v>
      </c>
      <c r="B100" s="3">
        <v>9</v>
      </c>
      <c r="C100" s="3">
        <v>18</v>
      </c>
      <c r="D100" s="18">
        <f>SUM(Scores!D100:M100)</f>
        <v>5</v>
      </c>
      <c r="E100" s="18">
        <f>SUM(Scores!N100:W100)</f>
        <v>2</v>
      </c>
      <c r="F100" s="18">
        <f>SUM(Scores!X100:AG100)</f>
        <v>1</v>
      </c>
    </row>
    <row r="101" spans="1:6">
      <c r="A101" s="2" t="s">
        <v>141</v>
      </c>
      <c r="B101" s="3">
        <v>6</v>
      </c>
      <c r="C101" s="3">
        <v>18</v>
      </c>
      <c r="D101" s="18">
        <f>SUM(Scores!D101:M101)</f>
        <v>5</v>
      </c>
      <c r="E101" s="18">
        <f>SUM(Scores!N101:W101)</f>
        <v>0</v>
      </c>
      <c r="F101" s="18">
        <f>SUM(Scores!X101:AG101)</f>
        <v>0</v>
      </c>
    </row>
    <row r="102" spans="1:6">
      <c r="A102" s="2" t="s">
        <v>83</v>
      </c>
      <c r="B102" s="3">
        <v>17</v>
      </c>
      <c r="C102" s="3">
        <v>22</v>
      </c>
      <c r="D102" s="18">
        <f>SUM(Scores!D102:M102)</f>
        <v>10</v>
      </c>
      <c r="E102" s="18">
        <f>SUM(Scores!N102:W102)</f>
        <v>5</v>
      </c>
      <c r="F102" s="18">
        <f>SUM(Scores!X102:AG102)</f>
        <v>1</v>
      </c>
    </row>
    <row r="103" spans="1:6">
      <c r="A103" s="2" t="s">
        <v>70</v>
      </c>
      <c r="B103" s="3">
        <v>18</v>
      </c>
      <c r="C103" s="3">
        <v>20</v>
      </c>
      <c r="D103" s="18">
        <f>SUM(Scores!D103:M103)</f>
        <v>8</v>
      </c>
      <c r="E103" s="18">
        <f>SUM(Scores!N103:W103)</f>
        <v>6</v>
      </c>
      <c r="F103" s="18">
        <f>SUM(Scores!X103:AG103)</f>
        <v>3</v>
      </c>
    </row>
    <row r="104" spans="1:6">
      <c r="A104" s="2" t="s">
        <v>107</v>
      </c>
      <c r="B104" s="3">
        <v>14</v>
      </c>
      <c r="C104" s="3">
        <v>19</v>
      </c>
      <c r="D104" s="18">
        <f>SUM(Scores!D104:M104)</f>
        <v>8</v>
      </c>
      <c r="E104" s="18">
        <f>SUM(Scores!N104:W104)</f>
        <v>4</v>
      </c>
      <c r="F104" s="18">
        <f>SUM(Scores!X104:AG104)</f>
        <v>1</v>
      </c>
    </row>
    <row r="105" spans="1:6">
      <c r="A105" s="2" t="s">
        <v>147</v>
      </c>
      <c r="B105" s="3">
        <v>4</v>
      </c>
      <c r="C105" s="3">
        <v>18</v>
      </c>
      <c r="D105" s="18">
        <f>SUM(Scores!D105:M105)</f>
        <v>2</v>
      </c>
      <c r="E105" s="18">
        <f>SUM(Scores!N105:W105)</f>
        <v>0</v>
      </c>
      <c r="F105" s="18">
        <f>SUM(Scores!X105:AG105)</f>
        <v>1</v>
      </c>
    </row>
    <row r="106" spans="1:6">
      <c r="A106" s="2" t="s">
        <v>51</v>
      </c>
      <c r="B106" s="3">
        <v>22</v>
      </c>
      <c r="C106" s="3">
        <v>24</v>
      </c>
      <c r="D106" s="18">
        <f>SUM(Scores!D106:M106)</f>
        <v>10</v>
      </c>
      <c r="E106" s="18">
        <f>SUM(Scores!N106:W106)</f>
        <v>8</v>
      </c>
      <c r="F106" s="18">
        <f>SUM(Scores!X106:AG106)</f>
        <v>3</v>
      </c>
    </row>
    <row r="107" spans="1:6">
      <c r="A107" s="2" t="s">
        <v>81</v>
      </c>
      <c r="B107" s="3">
        <v>17</v>
      </c>
      <c r="C107" s="3">
        <v>22</v>
      </c>
      <c r="D107" s="18">
        <f>SUM(Scores!D107:M107)</f>
        <v>9</v>
      </c>
      <c r="E107" s="18">
        <f>SUM(Scores!N107:W107)</f>
        <v>5</v>
      </c>
      <c r="F107" s="18">
        <f>SUM(Scores!X107:AG107)</f>
        <v>2</v>
      </c>
    </row>
    <row r="108" spans="1:6">
      <c r="A108" s="2" t="s">
        <v>101</v>
      </c>
      <c r="B108" s="3">
        <v>15</v>
      </c>
      <c r="C108" s="3">
        <v>20</v>
      </c>
      <c r="D108" s="18">
        <f>SUM(Scores!D108:M108)</f>
        <v>8</v>
      </c>
      <c r="E108" s="18">
        <f>SUM(Scores!N108:W108)</f>
        <v>5</v>
      </c>
      <c r="F108" s="18">
        <f>SUM(Scores!X108:AG108)</f>
        <v>1</v>
      </c>
    </row>
    <row r="109" spans="1:6">
      <c r="A109" s="2" t="s">
        <v>38</v>
      </c>
      <c r="B109" s="3">
        <v>26</v>
      </c>
      <c r="C109" s="3">
        <v>26</v>
      </c>
      <c r="D109" s="18">
        <f>SUM(Scores!D109:M109)</f>
        <v>9</v>
      </c>
      <c r="E109" s="18">
        <f>SUM(Scores!N109:W109)</f>
        <v>8</v>
      </c>
      <c r="F109" s="18">
        <f>SUM(Scores!X109:AG109)</f>
        <v>8</v>
      </c>
    </row>
    <row r="110" spans="1:6">
      <c r="A110" s="2" t="s">
        <v>138</v>
      </c>
      <c r="B110" s="3">
        <v>8</v>
      </c>
      <c r="C110" s="3">
        <v>18</v>
      </c>
      <c r="D110" s="18">
        <f>SUM(Scores!D110:M110)</f>
        <v>4</v>
      </c>
      <c r="E110" s="18">
        <f>SUM(Scores!N110:W110)</f>
        <v>4</v>
      </c>
      <c r="F110" s="18">
        <f>SUM(Scores!X110:AG110)</f>
        <v>0</v>
      </c>
    </row>
    <row r="111" spans="1:6">
      <c r="A111" s="2" t="s">
        <v>45</v>
      </c>
      <c r="B111" s="3">
        <v>23</v>
      </c>
      <c r="C111" s="3">
        <v>24</v>
      </c>
      <c r="D111" s="18">
        <f>SUM(Scores!D111:M111)</f>
        <v>10</v>
      </c>
      <c r="E111" s="18">
        <f>SUM(Scores!N111:W111)</f>
        <v>8</v>
      </c>
      <c r="F111" s="18">
        <f>SUM(Scores!X111:AG111)</f>
        <v>4</v>
      </c>
    </row>
    <row r="112" spans="1:6">
      <c r="A112" s="2" t="s">
        <v>98</v>
      </c>
      <c r="B112" s="3">
        <v>15</v>
      </c>
      <c r="C112" s="3">
        <v>18</v>
      </c>
      <c r="D112" s="18">
        <f>SUM(Scores!D112:M112)</f>
        <v>7</v>
      </c>
      <c r="E112" s="18">
        <f>SUM(Scores!N112:W112)</f>
        <v>7</v>
      </c>
      <c r="F112" s="18">
        <f>SUM(Scores!X112:AG112)</f>
        <v>0</v>
      </c>
    </row>
    <row r="113" spans="1:6">
      <c r="A113" s="2" t="s">
        <v>142</v>
      </c>
      <c r="B113" s="3">
        <v>6</v>
      </c>
      <c r="C113" s="3">
        <v>18</v>
      </c>
      <c r="D113" s="18">
        <f>SUM(Scores!D113:M113)</f>
        <v>2</v>
      </c>
      <c r="E113" s="18">
        <f>SUM(Scores!N113:W113)</f>
        <v>3</v>
      </c>
      <c r="F113" s="18">
        <f>SUM(Scores!X113:AG113)</f>
        <v>0</v>
      </c>
    </row>
    <row r="114" spans="1:6">
      <c r="A114" s="2" t="s">
        <v>145</v>
      </c>
      <c r="B114" s="3">
        <v>5</v>
      </c>
      <c r="C114" s="3">
        <v>18</v>
      </c>
      <c r="D114" s="18">
        <f>SUM(Scores!D114:M114)</f>
        <v>3</v>
      </c>
      <c r="E114" s="18">
        <f>SUM(Scores!N114:W114)</f>
        <v>2</v>
      </c>
      <c r="F114" s="18">
        <f>SUM(Scores!X114:AG114)</f>
        <v>0</v>
      </c>
    </row>
    <row r="115" spans="1:6">
      <c r="A115" s="2" t="s">
        <v>36</v>
      </c>
      <c r="B115" s="3">
        <v>27</v>
      </c>
      <c r="C115" s="3">
        <v>28</v>
      </c>
      <c r="D115" s="18">
        <f>SUM(Scores!D115:M115)</f>
        <v>10</v>
      </c>
      <c r="E115" s="18">
        <f>SUM(Scores!N115:W115)</f>
        <v>9</v>
      </c>
      <c r="F115" s="18">
        <f>SUM(Scores!X115:AG115)</f>
        <v>7</v>
      </c>
    </row>
    <row r="116" spans="1:6">
      <c r="A116" s="2" t="s">
        <v>128</v>
      </c>
      <c r="B116" s="3">
        <v>10</v>
      </c>
      <c r="C116" s="3">
        <v>18</v>
      </c>
      <c r="D116" s="18">
        <f>SUM(Scores!D116:M116)</f>
        <v>7</v>
      </c>
      <c r="E116" s="18">
        <f>SUM(Scores!N116:W116)</f>
        <v>2</v>
      </c>
      <c r="F116" s="18">
        <f>SUM(Scores!X116:AG116)</f>
        <v>0</v>
      </c>
    </row>
    <row r="117" spans="1:6">
      <c r="A117" s="2" t="s">
        <v>117</v>
      </c>
      <c r="B117" s="3">
        <v>12</v>
      </c>
      <c r="C117" s="3">
        <v>18</v>
      </c>
      <c r="D117" s="18">
        <f>SUM(Scores!D117:M117)</f>
        <v>7</v>
      </c>
      <c r="E117" s="18">
        <f>SUM(Scores!N117:W117)</f>
        <v>2</v>
      </c>
      <c r="F117" s="18">
        <f>SUM(Scores!X117:AG117)</f>
        <v>2</v>
      </c>
    </row>
    <row r="118" spans="1:6">
      <c r="A118" s="2" t="s">
        <v>120</v>
      </c>
      <c r="B118" s="3">
        <v>11</v>
      </c>
      <c r="C118" s="3">
        <v>18</v>
      </c>
      <c r="D118" s="18">
        <f>SUM(Scores!D118:M118)</f>
        <v>7</v>
      </c>
      <c r="E118" s="18">
        <f>SUM(Scores!N118:W118)</f>
        <v>3</v>
      </c>
      <c r="F118" s="18">
        <f>SUM(Scores!X118:AG118)</f>
        <v>0</v>
      </c>
    </row>
    <row r="119" spans="1:6">
      <c r="A119" s="2" t="s">
        <v>67</v>
      </c>
      <c r="B119" s="3">
        <v>19</v>
      </c>
      <c r="C119" s="3">
        <v>18</v>
      </c>
      <c r="D119" s="18">
        <f>SUM(Scores!D119:M119)</f>
        <v>10</v>
      </c>
      <c r="E119" s="18">
        <f>SUM(Scores!N119:W119)</f>
        <v>7</v>
      </c>
      <c r="F119" s="18">
        <f>SUM(Scores!X119:AG119)</f>
        <v>1</v>
      </c>
    </row>
    <row r="120" spans="1:6">
      <c r="A120" s="2" t="s">
        <v>52</v>
      </c>
      <c r="B120" s="3">
        <v>22</v>
      </c>
      <c r="C120" s="3">
        <v>22</v>
      </c>
      <c r="D120" s="18">
        <f>SUM(Scores!D120:M120)</f>
        <v>10</v>
      </c>
      <c r="E120" s="18">
        <f>SUM(Scores!N120:W120)</f>
        <v>7</v>
      </c>
      <c r="F120" s="18">
        <f>SUM(Scores!X120:AG120)</f>
        <v>4</v>
      </c>
    </row>
    <row r="121" spans="1:6">
      <c r="A121" s="2" t="s">
        <v>92</v>
      </c>
      <c r="B121" s="3">
        <v>16</v>
      </c>
      <c r="C121" s="3">
        <v>19</v>
      </c>
      <c r="D121" s="18">
        <f>SUM(Scores!D121:M121)</f>
        <v>7</v>
      </c>
      <c r="E121" s="18">
        <f>SUM(Scores!N121:W121)</f>
        <v>6</v>
      </c>
      <c r="F121" s="18">
        <f>SUM(Scores!X121:AG121)</f>
        <v>2</v>
      </c>
    </row>
    <row r="122" spans="1:6">
      <c r="B122" s="11"/>
    </row>
    <row r="123" spans="1:6">
      <c r="A123" s="17" t="s">
        <v>177</v>
      </c>
      <c r="B123">
        <f>CORREL(B2:B121, C2:C121)</f>
        <v>0.68426402875861658</v>
      </c>
    </row>
    <row r="124" spans="1:6">
      <c r="A124" s="17" t="s">
        <v>175</v>
      </c>
      <c r="B124">
        <f>CORREL(D2:D121, E2:E121)</f>
        <v>0.63525255490401922</v>
      </c>
    </row>
    <row r="125" spans="1:6">
      <c r="A125" s="17" t="s">
        <v>176</v>
      </c>
      <c r="B125">
        <f>CORREL(E2:E121, F2:F121)</f>
        <v>0.67368035876123677</v>
      </c>
    </row>
    <row r="126" spans="1:6">
      <c r="A126" s="17" t="s">
        <v>179</v>
      </c>
      <c r="B126">
        <f>CORREL(D2:D121, F2:F121)</f>
        <v>0.53891132451159895</v>
      </c>
    </row>
    <row r="129" spans="1:4">
      <c r="A129" s="19" t="s">
        <v>178</v>
      </c>
      <c r="B129" s="19" t="str">
        <f>IF(B123&lt;=0.19, "Negligible relationship", IF(B123&lt;=0.39, "Weak relationship", IF(B123&lt;=0.59, "Substantial relationship", IF(B123&lt;=0.79, "Strong relationship", IF(B123&lt;=1, "Very strong relationship", "")))))</f>
        <v>Strong relationship</v>
      </c>
      <c r="D129" t="s">
        <v>180</v>
      </c>
    </row>
    <row r="130" spans="1:4">
      <c r="A130" s="19" t="s">
        <v>171</v>
      </c>
      <c r="B130" s="19" t="str">
        <f>IF(B123&lt;=0.19, "Replace", IF(B123&lt;=0.39, "Review", IF(B123&lt;=1, "Retain", "")))</f>
        <v>Retain</v>
      </c>
    </row>
  </sheetData>
  <sortState xmlns:xlrd2="http://schemas.microsoft.com/office/spreadsheetml/2017/richdata2" ref="A2:C121"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31"/>
  <sheetViews>
    <sheetView zoomScale="80" zoomScaleNormal="80" workbookViewId="0">
      <selection activeCell="C2" sqref="C2"/>
    </sheetView>
  </sheetViews>
  <sheetFormatPr defaultColWidth="8.88671875" defaultRowHeight="14.4"/>
  <cols>
    <col min="1" max="1" width="16.44140625" customWidth="1"/>
    <col min="2" max="2" width="9.44140625" customWidth="1"/>
    <col min="3" max="5" width="16.109375" customWidth="1"/>
    <col min="6" max="7" width="12.33203125" customWidth="1"/>
    <col min="8" max="9" width="16.109375" customWidth="1"/>
    <col min="10" max="11" width="12.33203125" customWidth="1"/>
    <col min="12" max="12" width="16.109375" customWidth="1"/>
    <col min="13" max="27" width="12.33203125" customWidth="1"/>
    <col min="28" max="32" width="16.109375" customWidth="1"/>
  </cols>
  <sheetData>
    <row r="1" spans="1:32" ht="27.9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ht="18" customHeight="1">
      <c r="A2" s="2" t="s">
        <v>96</v>
      </c>
      <c r="B2" s="3">
        <f t="shared" ref="B2:B28" si="0">SUM(C2:AF2)</f>
        <v>15</v>
      </c>
      <c r="C2" s="2">
        <v>0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0</v>
      </c>
      <c r="Z2" s="2">
        <v>0</v>
      </c>
      <c r="AA2" s="2">
        <v>1</v>
      </c>
      <c r="AB2" s="2">
        <v>0</v>
      </c>
      <c r="AC2" s="2">
        <v>1</v>
      </c>
      <c r="AD2" s="2">
        <v>0</v>
      </c>
      <c r="AE2" s="2">
        <v>0</v>
      </c>
      <c r="AF2" s="2">
        <v>0</v>
      </c>
    </row>
    <row r="3" spans="1:32" ht="18" customHeight="1">
      <c r="A3" s="2" t="s">
        <v>150</v>
      </c>
      <c r="B3" s="3">
        <f t="shared" si="0"/>
        <v>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8" customHeight="1">
      <c r="A4" s="2" t="s">
        <v>79</v>
      </c>
      <c r="B4" s="3">
        <f t="shared" si="0"/>
        <v>17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</row>
    <row r="5" spans="1:32" ht="18" customHeight="1">
      <c r="A5" s="2" t="s">
        <v>80</v>
      </c>
      <c r="B5" s="3">
        <f t="shared" si="0"/>
        <v>17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1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8" customHeight="1">
      <c r="A6" s="2" t="s">
        <v>42</v>
      </c>
      <c r="B6" s="3">
        <f t="shared" si="0"/>
        <v>25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</row>
    <row r="7" spans="1:32" ht="18" customHeight="1">
      <c r="A7" s="2" t="s">
        <v>93</v>
      </c>
      <c r="B7" s="3">
        <f t="shared" si="0"/>
        <v>16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1</v>
      </c>
      <c r="W7" s="2">
        <v>0</v>
      </c>
      <c r="X7" s="2">
        <v>0</v>
      </c>
      <c r="Y7" s="2">
        <v>1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8" customHeight="1">
      <c r="A8" s="2" t="s">
        <v>114</v>
      </c>
      <c r="B8" s="3">
        <f t="shared" si="0"/>
        <v>12</v>
      </c>
      <c r="C8" s="2">
        <v>1</v>
      </c>
      <c r="D8" s="2">
        <v>0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8" customHeight="1">
      <c r="A9" s="2" t="s">
        <v>149</v>
      </c>
      <c r="B9" s="3">
        <f t="shared" si="0"/>
        <v>3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8" customHeight="1">
      <c r="A10" s="2" t="s">
        <v>60</v>
      </c>
      <c r="B10" s="3">
        <f t="shared" si="0"/>
        <v>20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1</v>
      </c>
      <c r="AF10" s="2">
        <v>0</v>
      </c>
    </row>
    <row r="11" spans="1:32" ht="18" customHeight="1">
      <c r="A11" s="2" t="s">
        <v>119</v>
      </c>
      <c r="B11" s="3">
        <f t="shared" si="0"/>
        <v>11</v>
      </c>
      <c r="C11" s="2">
        <v>1</v>
      </c>
      <c r="D11" s="2">
        <v>0</v>
      </c>
      <c r="E11" s="2">
        <v>1</v>
      </c>
      <c r="F11" s="2">
        <v>1</v>
      </c>
      <c r="G11" s="2">
        <v>1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8" customHeight="1">
      <c r="A12" s="2" t="s">
        <v>99</v>
      </c>
      <c r="B12" s="3">
        <f t="shared" si="0"/>
        <v>15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  <c r="AF12" s="2">
        <v>0</v>
      </c>
    </row>
    <row r="13" spans="1:32" ht="18" customHeight="1">
      <c r="A13" s="2" t="s">
        <v>135</v>
      </c>
      <c r="B13" s="3">
        <f t="shared" si="0"/>
        <v>9</v>
      </c>
      <c r="C13" s="2">
        <v>1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8" customHeight="1">
      <c r="A14" s="2" t="s">
        <v>152</v>
      </c>
      <c r="B14" s="3">
        <f t="shared" si="0"/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8" customHeight="1">
      <c r="A15" s="2" t="s">
        <v>48</v>
      </c>
      <c r="B15" s="3">
        <f t="shared" si="0"/>
        <v>23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1</v>
      </c>
      <c r="AC15" s="2">
        <v>0</v>
      </c>
      <c r="AD15" s="2">
        <v>0</v>
      </c>
      <c r="AE15" s="2">
        <v>1</v>
      </c>
      <c r="AF15" s="2">
        <v>0</v>
      </c>
    </row>
    <row r="16" spans="1:32" ht="18" customHeight="1">
      <c r="A16" s="2" t="s">
        <v>69</v>
      </c>
      <c r="B16" s="3">
        <f t="shared" si="0"/>
        <v>18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0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8" customHeight="1">
      <c r="A17" s="2" t="s">
        <v>106</v>
      </c>
      <c r="B17" s="3">
        <f t="shared" si="0"/>
        <v>14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1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8" customHeight="1">
      <c r="A18" s="2" t="s">
        <v>84</v>
      </c>
      <c r="B18" s="3">
        <f t="shared" si="0"/>
        <v>17</v>
      </c>
      <c r="C18" s="2">
        <v>1</v>
      </c>
      <c r="D18" s="2">
        <v>1</v>
      </c>
      <c r="E18" s="2">
        <v>1</v>
      </c>
      <c r="F18" s="2">
        <v>1</v>
      </c>
      <c r="G18" s="2">
        <v>0</v>
      </c>
      <c r="H18" s="2">
        <v>1</v>
      </c>
      <c r="I18" s="2">
        <v>1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1</v>
      </c>
      <c r="S18" s="2">
        <v>1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</row>
    <row r="19" spans="1:32" ht="18" customHeight="1">
      <c r="A19" s="2" t="s">
        <v>121</v>
      </c>
      <c r="B19" s="3">
        <f t="shared" si="0"/>
        <v>11</v>
      </c>
      <c r="C19" s="2">
        <v>1</v>
      </c>
      <c r="D19" s="2">
        <v>1</v>
      </c>
      <c r="E19" s="2">
        <v>1</v>
      </c>
      <c r="F19" s="2">
        <v>0</v>
      </c>
      <c r="G19" s="2">
        <v>1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8" customHeight="1">
      <c r="A20" s="2" t="s">
        <v>37</v>
      </c>
      <c r="B20" s="3">
        <f t="shared" si="0"/>
        <v>27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0</v>
      </c>
      <c r="AB20" s="2">
        <v>0</v>
      </c>
      <c r="AC20" s="2">
        <v>1</v>
      </c>
      <c r="AD20" s="2">
        <v>1</v>
      </c>
      <c r="AE20" s="2">
        <v>1</v>
      </c>
      <c r="AF20" s="2">
        <v>0</v>
      </c>
    </row>
    <row r="21" spans="1:32" ht="18" customHeight="1">
      <c r="A21" s="2" t="s">
        <v>132</v>
      </c>
      <c r="B21" s="3">
        <f t="shared" si="0"/>
        <v>9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8" customHeight="1">
      <c r="A22" s="2" t="s">
        <v>113</v>
      </c>
      <c r="B22" s="3">
        <f t="shared" si="0"/>
        <v>13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8" customHeight="1">
      <c r="A23" s="2" t="s">
        <v>59</v>
      </c>
      <c r="B23" s="3">
        <f t="shared" si="0"/>
        <v>20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0</v>
      </c>
      <c r="S23" s="2">
        <v>0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8" customHeight="1">
      <c r="A24" s="2" t="s">
        <v>151</v>
      </c>
      <c r="B24" s="3">
        <f t="shared" si="0"/>
        <v>2</v>
      </c>
      <c r="C24" s="2">
        <v>0</v>
      </c>
      <c r="D24" s="2">
        <v>1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8" customHeight="1">
      <c r="A25" s="2" t="s">
        <v>49</v>
      </c>
      <c r="B25" s="3">
        <f t="shared" si="0"/>
        <v>22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8" customHeight="1">
      <c r="A26" s="2" t="s">
        <v>122</v>
      </c>
      <c r="B26" s="3">
        <f t="shared" si="0"/>
        <v>11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8" customHeight="1">
      <c r="A27" s="2" t="s">
        <v>146</v>
      </c>
      <c r="B27" s="3">
        <f t="shared" si="0"/>
        <v>5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8" customHeight="1">
      <c r="A28" s="2" t="s">
        <v>108</v>
      </c>
      <c r="B28" s="3">
        <f t="shared" si="0"/>
        <v>14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1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8" customHeight="1">
      <c r="A29" s="2" t="s">
        <v>34</v>
      </c>
      <c r="B29" s="3">
        <v>30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</row>
    <row r="30" spans="1:32" ht="18" customHeight="1">
      <c r="A30" s="2" t="s">
        <v>112</v>
      </c>
      <c r="B30" s="3">
        <f t="shared" ref="B30:B61" si="1">SUM(C30:AF30)</f>
        <v>13</v>
      </c>
      <c r="C30" s="2">
        <v>1</v>
      </c>
      <c r="D30" s="2">
        <v>1</v>
      </c>
      <c r="E30" s="2">
        <v>1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</row>
    <row r="31" spans="1:32" ht="18" customHeight="1">
      <c r="A31" s="2" t="s">
        <v>144</v>
      </c>
      <c r="B31" s="3">
        <f t="shared" si="1"/>
        <v>6</v>
      </c>
      <c r="C31" s="2">
        <v>1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</row>
    <row r="32" spans="1:32" ht="18" customHeight="1">
      <c r="A32" s="2" t="s">
        <v>124</v>
      </c>
      <c r="B32" s="3">
        <f t="shared" si="1"/>
        <v>11</v>
      </c>
      <c r="C32" s="2">
        <v>0</v>
      </c>
      <c r="D32" s="2">
        <v>1</v>
      </c>
      <c r="E32" s="2">
        <v>0</v>
      </c>
      <c r="F32" s="2">
        <v>1</v>
      </c>
      <c r="G32" s="2">
        <v>1</v>
      </c>
      <c r="H32" s="2">
        <v>1</v>
      </c>
      <c r="I32" s="2">
        <v>0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0</v>
      </c>
      <c r="AE32" s="2">
        <v>0</v>
      </c>
      <c r="AF32" s="2">
        <v>0</v>
      </c>
    </row>
    <row r="33" spans="1:32" ht="18" customHeight="1">
      <c r="A33" s="2" t="s">
        <v>94</v>
      </c>
      <c r="B33" s="3">
        <f t="shared" si="1"/>
        <v>16</v>
      </c>
      <c r="C33" s="2">
        <v>1</v>
      </c>
      <c r="D33" s="2">
        <v>1</v>
      </c>
      <c r="E33" s="2">
        <v>1</v>
      </c>
      <c r="F33" s="2">
        <v>0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0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0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</row>
    <row r="34" spans="1:32" ht="18" customHeight="1">
      <c r="A34" s="2" t="s">
        <v>139</v>
      </c>
      <c r="B34" s="3">
        <f t="shared" si="1"/>
        <v>7</v>
      </c>
      <c r="C34" s="2">
        <v>0</v>
      </c>
      <c r="D34" s="2">
        <v>0</v>
      </c>
      <c r="E34" s="2">
        <v>1</v>
      </c>
      <c r="F34" s="2">
        <v>1</v>
      </c>
      <c r="G34" s="2">
        <v>1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</row>
    <row r="35" spans="1:32" ht="18" customHeight="1">
      <c r="A35" s="2" t="s">
        <v>125</v>
      </c>
      <c r="B35" s="3">
        <f t="shared" si="1"/>
        <v>11</v>
      </c>
      <c r="C35" s="2">
        <v>1</v>
      </c>
      <c r="D35" s="2">
        <v>0</v>
      </c>
      <c r="E35" s="2">
        <v>0</v>
      </c>
      <c r="F35" s="2">
        <v>0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</row>
    <row r="36" spans="1:32" ht="18" customHeight="1">
      <c r="A36" s="2" t="s">
        <v>61</v>
      </c>
      <c r="B36" s="3">
        <f t="shared" si="1"/>
        <v>20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0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</row>
    <row r="37" spans="1:32" ht="18" customHeight="1">
      <c r="A37" s="2" t="s">
        <v>85</v>
      </c>
      <c r="B37" s="3">
        <f t="shared" si="1"/>
        <v>17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</row>
    <row r="38" spans="1:32" ht="18" customHeight="1">
      <c r="A38" s="2" t="s">
        <v>104</v>
      </c>
      <c r="B38" s="3">
        <f t="shared" si="1"/>
        <v>15</v>
      </c>
      <c r="C38" s="2">
        <v>1</v>
      </c>
      <c r="D38" s="2">
        <v>1</v>
      </c>
      <c r="E38" s="2">
        <v>1</v>
      </c>
      <c r="F38" s="2">
        <v>0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</row>
    <row r="39" spans="1:32" ht="18" customHeight="1">
      <c r="A39" s="2" t="s">
        <v>109</v>
      </c>
      <c r="B39" s="3">
        <f t="shared" si="1"/>
        <v>14</v>
      </c>
      <c r="C39" s="2">
        <v>1</v>
      </c>
      <c r="D39" s="2">
        <v>1</v>
      </c>
      <c r="E39" s="2">
        <v>1</v>
      </c>
      <c r="F39" s="2">
        <v>1</v>
      </c>
      <c r="G39" s="2">
        <v>0</v>
      </c>
      <c r="H39" s="2">
        <v>1</v>
      </c>
      <c r="I39" s="2">
        <v>0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2" ht="18" customHeight="1">
      <c r="A40" s="2" t="s">
        <v>75</v>
      </c>
      <c r="B40" s="3">
        <f t="shared" si="1"/>
        <v>18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</row>
    <row r="41" spans="1:32" ht="18" customHeight="1">
      <c r="A41" s="2" t="s">
        <v>110</v>
      </c>
      <c r="B41" s="3">
        <f t="shared" si="1"/>
        <v>14</v>
      </c>
      <c r="C41" s="2">
        <v>0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0</v>
      </c>
      <c r="K41" s="2">
        <v>1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1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 spans="1:32" ht="18" customHeight="1">
      <c r="A42" s="2" t="s">
        <v>102</v>
      </c>
      <c r="B42" s="3">
        <f t="shared" si="1"/>
        <v>15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  <c r="AF42" s="2">
        <v>0</v>
      </c>
    </row>
    <row r="43" spans="1:32" ht="18" customHeight="1">
      <c r="A43" s="2" t="s">
        <v>77</v>
      </c>
      <c r="B43" s="3">
        <f t="shared" si="1"/>
        <v>17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</row>
    <row r="44" spans="1:32" ht="18" customHeight="1">
      <c r="A44" s="2" t="s">
        <v>46</v>
      </c>
      <c r="B44" s="3">
        <f t="shared" si="1"/>
        <v>23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1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</row>
    <row r="45" spans="1:32" ht="18" customHeight="1">
      <c r="A45" s="2" t="s">
        <v>140</v>
      </c>
      <c r="B45" s="3">
        <f t="shared" si="1"/>
        <v>6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</row>
    <row r="46" spans="1:32" ht="18" customHeight="1">
      <c r="A46" s="2" t="s">
        <v>57</v>
      </c>
      <c r="B46" s="3">
        <f t="shared" si="1"/>
        <v>21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0</v>
      </c>
      <c r="U46" s="2">
        <v>0</v>
      </c>
      <c r="V46" s="2">
        <v>1</v>
      </c>
      <c r="W46" s="2">
        <v>0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0</v>
      </c>
      <c r="AE46" s="2">
        <v>1</v>
      </c>
      <c r="AF46" s="2">
        <v>0</v>
      </c>
    </row>
    <row r="47" spans="1:32" ht="18" customHeight="1">
      <c r="A47" s="2" t="s">
        <v>40</v>
      </c>
      <c r="B47" s="3">
        <f t="shared" si="1"/>
        <v>26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0</v>
      </c>
      <c r="Z47" s="2">
        <v>1</v>
      </c>
      <c r="AA47" s="2">
        <v>1</v>
      </c>
      <c r="AB47" s="2">
        <v>1</v>
      </c>
      <c r="AC47" s="2">
        <v>1</v>
      </c>
      <c r="AD47" s="2">
        <v>0</v>
      </c>
      <c r="AE47" s="2">
        <v>1</v>
      </c>
      <c r="AF47" s="2">
        <v>1</v>
      </c>
    </row>
    <row r="48" spans="1:32" ht="18" customHeight="1">
      <c r="A48" s="2" t="s">
        <v>130</v>
      </c>
      <c r="B48" s="3">
        <f t="shared" si="1"/>
        <v>10</v>
      </c>
      <c r="C48" s="2">
        <v>0</v>
      </c>
      <c r="D48" s="2">
        <v>1</v>
      </c>
      <c r="E48" s="2">
        <v>0</v>
      </c>
      <c r="F48" s="2">
        <v>1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</row>
    <row r="49" spans="1:32" ht="18" customHeight="1">
      <c r="A49" s="2" t="s">
        <v>95</v>
      </c>
      <c r="B49" s="3">
        <f t="shared" si="1"/>
        <v>16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0</v>
      </c>
      <c r="I49" s="2">
        <v>1</v>
      </c>
      <c r="J49" s="2">
        <v>1</v>
      </c>
      <c r="K49" s="2">
        <v>1</v>
      </c>
      <c r="L49" s="2">
        <v>0</v>
      </c>
      <c r="M49" s="2">
        <v>1</v>
      </c>
      <c r="N49" s="2">
        <v>1</v>
      </c>
      <c r="O49" s="2">
        <v>0</v>
      </c>
      <c r="P49" s="2">
        <v>1</v>
      </c>
      <c r="Q49" s="2">
        <v>0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</row>
    <row r="50" spans="1:32" ht="18" customHeight="1">
      <c r="A50" s="2" t="s">
        <v>54</v>
      </c>
      <c r="B50" s="3">
        <f t="shared" si="1"/>
        <v>21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0</v>
      </c>
      <c r="T50" s="2">
        <v>0</v>
      </c>
      <c r="U50" s="2">
        <v>1</v>
      </c>
      <c r="V50" s="2">
        <v>0</v>
      </c>
      <c r="W50" s="2">
        <v>0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</row>
    <row r="51" spans="1:32" ht="18" customHeight="1">
      <c r="A51" s="2" t="s">
        <v>82</v>
      </c>
      <c r="B51" s="3">
        <f t="shared" si="1"/>
        <v>17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0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1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</row>
    <row r="52" spans="1:32" ht="18" customHeight="1">
      <c r="A52" s="2" t="s">
        <v>116</v>
      </c>
      <c r="B52" s="3">
        <f t="shared" si="1"/>
        <v>12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0</v>
      </c>
      <c r="X52" s="2">
        <v>0</v>
      </c>
      <c r="Y52" s="2">
        <v>1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</row>
    <row r="53" spans="1:32" ht="18" customHeight="1">
      <c r="A53" s="2" t="s">
        <v>133</v>
      </c>
      <c r="B53" s="3">
        <f t="shared" si="1"/>
        <v>9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0</v>
      </c>
      <c r="K53" s="2">
        <v>1</v>
      </c>
      <c r="L53" s="2">
        <v>1</v>
      </c>
      <c r="M53" s="2">
        <v>1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</row>
    <row r="54" spans="1:32" ht="18" customHeight="1">
      <c r="A54" s="2" t="s">
        <v>148</v>
      </c>
      <c r="B54" s="3">
        <f t="shared" si="1"/>
        <v>4</v>
      </c>
      <c r="C54" s="2">
        <v>0</v>
      </c>
      <c r="D54" s="2">
        <v>0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</row>
    <row r="55" spans="1:32" ht="18" customHeight="1">
      <c r="A55" s="2" t="s">
        <v>64</v>
      </c>
      <c r="B55" s="3">
        <f t="shared" si="1"/>
        <v>19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0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</row>
    <row r="56" spans="1:32" ht="18" customHeight="1">
      <c r="A56" s="2" t="s">
        <v>153</v>
      </c>
      <c r="B56" s="3">
        <f t="shared" si="1"/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</row>
    <row r="57" spans="1:32" ht="18" customHeight="1">
      <c r="A57" s="2" t="s">
        <v>65</v>
      </c>
      <c r="B57" s="3">
        <f t="shared" si="1"/>
        <v>19</v>
      </c>
      <c r="C57" s="2">
        <v>1</v>
      </c>
      <c r="D57" s="2">
        <v>1</v>
      </c>
      <c r="E57" s="2">
        <v>0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0</v>
      </c>
      <c r="V57" s="2">
        <v>1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</v>
      </c>
      <c r="AE57" s="2">
        <v>0</v>
      </c>
      <c r="AF57" s="2">
        <v>0</v>
      </c>
    </row>
    <row r="58" spans="1:32" ht="18" customHeight="1">
      <c r="A58" s="2" t="s">
        <v>56</v>
      </c>
      <c r="B58" s="3">
        <f t="shared" si="1"/>
        <v>21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0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</row>
    <row r="59" spans="1:32" ht="18" customHeight="1">
      <c r="A59" s="2" t="s">
        <v>136</v>
      </c>
      <c r="B59" s="3">
        <f t="shared" si="1"/>
        <v>8</v>
      </c>
      <c r="C59" s="2">
        <v>1</v>
      </c>
      <c r="D59" s="2">
        <v>1</v>
      </c>
      <c r="E59" s="2">
        <v>0</v>
      </c>
      <c r="F59" s="2">
        <v>0</v>
      </c>
      <c r="G59" s="2">
        <v>1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</row>
    <row r="60" spans="1:32" ht="18" customHeight="1">
      <c r="A60" s="2" t="s">
        <v>74</v>
      </c>
      <c r="B60" s="3">
        <f t="shared" si="1"/>
        <v>18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0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</row>
    <row r="61" spans="1:32" ht="18" customHeight="1">
      <c r="A61" s="2" t="s">
        <v>66</v>
      </c>
      <c r="B61" s="3">
        <f t="shared" si="1"/>
        <v>19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  <c r="I61" s="2">
        <v>1</v>
      </c>
      <c r="J61" s="2">
        <v>1</v>
      </c>
      <c r="K61" s="2">
        <v>1</v>
      </c>
      <c r="L61" s="2">
        <v>0</v>
      </c>
      <c r="M61" s="2">
        <v>1</v>
      </c>
      <c r="N61" s="2">
        <v>1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1</v>
      </c>
      <c r="AB61" s="2">
        <v>1</v>
      </c>
      <c r="AC61" s="2">
        <v>1</v>
      </c>
      <c r="AD61" s="2">
        <v>0</v>
      </c>
      <c r="AE61" s="2">
        <v>1</v>
      </c>
      <c r="AF61" s="2">
        <v>0</v>
      </c>
    </row>
    <row r="62" spans="1:32" ht="18" customHeight="1">
      <c r="A62" s="2" t="s">
        <v>55</v>
      </c>
      <c r="B62" s="3">
        <f t="shared" ref="B62:B93" si="2">SUM(C62:AF62)</f>
        <v>21</v>
      </c>
      <c r="C62" s="2">
        <v>1</v>
      </c>
      <c r="D62" s="2">
        <v>1</v>
      </c>
      <c r="E62" s="2">
        <v>0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  <c r="AF62" s="2">
        <v>0</v>
      </c>
    </row>
    <row r="63" spans="1:32" ht="18" customHeight="1">
      <c r="A63" s="2" t="s">
        <v>123</v>
      </c>
      <c r="B63" s="3">
        <f t="shared" si="2"/>
        <v>11</v>
      </c>
      <c r="C63" s="2">
        <v>1</v>
      </c>
      <c r="D63" s="2">
        <v>1</v>
      </c>
      <c r="E63" s="2">
        <v>1</v>
      </c>
      <c r="F63" s="2">
        <v>0</v>
      </c>
      <c r="G63" s="2">
        <v>0</v>
      </c>
      <c r="H63" s="2">
        <v>1</v>
      </c>
      <c r="I63" s="2">
        <v>1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</row>
    <row r="64" spans="1:32" ht="18" customHeight="1">
      <c r="A64" s="2" t="s">
        <v>88</v>
      </c>
      <c r="B64" s="3">
        <f t="shared" si="2"/>
        <v>16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0</v>
      </c>
      <c r="O64" s="2">
        <v>0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  <c r="AF64" s="2">
        <v>0</v>
      </c>
    </row>
    <row r="65" spans="1:32" ht="18" customHeight="1">
      <c r="A65" s="2" t="s">
        <v>97</v>
      </c>
      <c r="B65" s="3">
        <f t="shared" si="2"/>
        <v>15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1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</row>
    <row r="66" spans="1:32" ht="18" customHeight="1">
      <c r="A66" s="2" t="s">
        <v>129</v>
      </c>
      <c r="B66" s="3">
        <f t="shared" si="2"/>
        <v>10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8" customHeight="1">
      <c r="A67" s="2" t="s">
        <v>87</v>
      </c>
      <c r="B67" s="3">
        <f t="shared" si="2"/>
        <v>16</v>
      </c>
      <c r="C67" s="2">
        <v>1</v>
      </c>
      <c r="D67" s="2">
        <v>0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1</v>
      </c>
      <c r="R67" s="2">
        <v>1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 s="2">
        <v>1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</row>
    <row r="68" spans="1:32" ht="18" customHeight="1">
      <c r="A68" s="2" t="s">
        <v>71</v>
      </c>
      <c r="B68" s="3">
        <f t="shared" si="2"/>
        <v>18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0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1</v>
      </c>
      <c r="AA68" s="2">
        <v>1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</row>
    <row r="69" spans="1:32" ht="18" customHeight="1">
      <c r="A69" s="2" t="s">
        <v>111</v>
      </c>
      <c r="B69" s="3">
        <f t="shared" si="2"/>
        <v>13</v>
      </c>
      <c r="C69" s="2">
        <v>1</v>
      </c>
      <c r="D69" s="2">
        <v>0</v>
      </c>
      <c r="E69" s="2">
        <v>0</v>
      </c>
      <c r="F69" s="2">
        <v>1</v>
      </c>
      <c r="G69" s="2">
        <v>1</v>
      </c>
      <c r="H69" s="2">
        <v>0</v>
      </c>
      <c r="I69" s="2">
        <v>1</v>
      </c>
      <c r="J69" s="2">
        <v>1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</row>
    <row r="70" spans="1:32" ht="18" customHeight="1">
      <c r="A70" s="2" t="s">
        <v>47</v>
      </c>
      <c r="B70" s="3">
        <f t="shared" si="2"/>
        <v>23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0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</row>
    <row r="71" spans="1:32" ht="18" customHeight="1">
      <c r="A71" s="2" t="s">
        <v>62</v>
      </c>
      <c r="B71" s="3">
        <f t="shared" si="2"/>
        <v>19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0</v>
      </c>
      <c r="Q71" s="2">
        <v>1</v>
      </c>
      <c r="R71" s="2">
        <v>1</v>
      </c>
      <c r="S71" s="2">
        <v>0</v>
      </c>
      <c r="T71" s="2">
        <v>1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</row>
    <row r="72" spans="1:32" ht="18" customHeight="1">
      <c r="A72" s="2" t="s">
        <v>86</v>
      </c>
      <c r="B72" s="3">
        <f t="shared" si="2"/>
        <v>16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</row>
    <row r="73" spans="1:32" ht="18" customHeight="1">
      <c r="A73" s="2" t="s">
        <v>63</v>
      </c>
      <c r="B73" s="3">
        <f t="shared" si="2"/>
        <v>19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>
        <v>0</v>
      </c>
    </row>
    <row r="74" spans="1:32" ht="18" customHeight="1">
      <c r="A74" s="2" t="s">
        <v>89</v>
      </c>
      <c r="B74" s="3">
        <f t="shared" si="2"/>
        <v>16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1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</row>
    <row r="75" spans="1:32" ht="18" customHeight="1">
      <c r="A75" s="2" t="s">
        <v>118</v>
      </c>
      <c r="B75" s="3">
        <f t="shared" si="2"/>
        <v>12</v>
      </c>
      <c r="C75" s="2">
        <v>0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1</v>
      </c>
      <c r="N75" s="2">
        <v>1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</row>
    <row r="76" spans="1:32" ht="18" customHeight="1">
      <c r="A76" s="2" t="s">
        <v>105</v>
      </c>
      <c r="B76" s="3">
        <f t="shared" si="2"/>
        <v>15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1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2">
        <v>1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</row>
    <row r="77" spans="1:32" ht="18" customHeight="1">
      <c r="A77" s="2" t="s">
        <v>39</v>
      </c>
      <c r="B77" s="3">
        <f t="shared" si="2"/>
        <v>26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1</v>
      </c>
      <c r="X77" s="2">
        <v>0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0</v>
      </c>
    </row>
    <row r="78" spans="1:32" ht="18" customHeight="1">
      <c r="A78" s="2" t="s">
        <v>103</v>
      </c>
      <c r="B78" s="3">
        <f t="shared" si="2"/>
        <v>15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1</v>
      </c>
      <c r="S78" s="2">
        <v>1</v>
      </c>
      <c r="T78" s="2">
        <v>1</v>
      </c>
      <c r="U78" s="2">
        <v>0</v>
      </c>
      <c r="V78" s="2">
        <v>0</v>
      </c>
      <c r="W78" s="2">
        <v>0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</row>
    <row r="79" spans="1:32" ht="18" customHeight="1">
      <c r="A79" s="2" t="s">
        <v>91</v>
      </c>
      <c r="B79" s="3">
        <f t="shared" si="2"/>
        <v>16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0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</row>
    <row r="80" spans="1:32" ht="18" customHeight="1">
      <c r="A80" s="2" t="s">
        <v>100</v>
      </c>
      <c r="B80" s="3">
        <f t="shared" si="2"/>
        <v>15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</v>
      </c>
      <c r="W80" s="2">
        <v>0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</row>
    <row r="81" spans="1:32" ht="18" customHeight="1">
      <c r="A81" s="2" t="s">
        <v>72</v>
      </c>
      <c r="B81" s="3">
        <f t="shared" si="2"/>
        <v>18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0</v>
      </c>
      <c r="T81" s="2">
        <v>0</v>
      </c>
      <c r="U81" s="2">
        <v>1</v>
      </c>
      <c r="V81" s="2">
        <v>0</v>
      </c>
      <c r="W81" s="2">
        <v>0</v>
      </c>
      <c r="X81" s="2">
        <v>1</v>
      </c>
      <c r="Y81" s="2">
        <v>0</v>
      </c>
      <c r="Z81" s="2">
        <v>0</v>
      </c>
      <c r="AA81" s="2">
        <v>1</v>
      </c>
      <c r="AB81" s="2">
        <v>0</v>
      </c>
      <c r="AC81" s="2">
        <v>0</v>
      </c>
      <c r="AD81" s="2">
        <v>0</v>
      </c>
      <c r="AE81" s="2">
        <v>1</v>
      </c>
      <c r="AF81" s="2">
        <v>0</v>
      </c>
    </row>
    <row r="82" spans="1:32" ht="18" customHeight="1">
      <c r="A82" s="2" t="s">
        <v>115</v>
      </c>
      <c r="B82" s="3">
        <f t="shared" si="2"/>
        <v>12</v>
      </c>
      <c r="C82" s="2">
        <v>1</v>
      </c>
      <c r="D82" s="2">
        <v>1</v>
      </c>
      <c r="E82" s="2">
        <v>1</v>
      </c>
      <c r="F82" s="2">
        <v>0</v>
      </c>
      <c r="G82" s="2">
        <v>1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0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</row>
    <row r="83" spans="1:32" ht="18" customHeight="1">
      <c r="A83" s="2" t="s">
        <v>58</v>
      </c>
      <c r="B83" s="3">
        <f t="shared" si="2"/>
        <v>21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0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0</v>
      </c>
      <c r="U83" s="2">
        <v>0</v>
      </c>
      <c r="V83" s="2">
        <v>1</v>
      </c>
      <c r="W83" s="2">
        <v>1</v>
      </c>
      <c r="X83" s="2">
        <v>1</v>
      </c>
      <c r="Y83" s="2">
        <v>1</v>
      </c>
      <c r="Z83" s="2">
        <v>0</v>
      </c>
      <c r="AA83" s="2">
        <v>0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</row>
    <row r="84" spans="1:32" ht="18" customHeight="1">
      <c r="A84" s="2" t="s">
        <v>53</v>
      </c>
      <c r="B84" s="3">
        <f t="shared" si="2"/>
        <v>21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1</v>
      </c>
      <c r="AB84" s="2">
        <v>1</v>
      </c>
      <c r="AC84" s="2">
        <v>1</v>
      </c>
      <c r="AD84" s="2">
        <v>0</v>
      </c>
      <c r="AE84" s="2">
        <v>0</v>
      </c>
      <c r="AF84" s="2">
        <v>0</v>
      </c>
    </row>
    <row r="85" spans="1:32" ht="18" customHeight="1">
      <c r="A85" s="2" t="s">
        <v>143</v>
      </c>
      <c r="B85" s="3">
        <f t="shared" si="2"/>
        <v>6</v>
      </c>
      <c r="C85" s="2">
        <v>1</v>
      </c>
      <c r="D85" s="2">
        <v>1</v>
      </c>
      <c r="E85" s="2">
        <v>1</v>
      </c>
      <c r="F85" s="2">
        <v>0</v>
      </c>
      <c r="G85" s="2">
        <v>0</v>
      </c>
      <c r="H85" s="2">
        <v>1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</row>
    <row r="86" spans="1:32" ht="18" customHeight="1">
      <c r="A86" s="2" t="s">
        <v>44</v>
      </c>
      <c r="B86" s="3">
        <f t="shared" si="2"/>
        <v>23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1</v>
      </c>
      <c r="R86" s="2">
        <v>1</v>
      </c>
      <c r="S86" s="2">
        <v>1</v>
      </c>
      <c r="T86" s="2">
        <v>0</v>
      </c>
      <c r="U86" s="2">
        <v>1</v>
      </c>
      <c r="V86" s="2">
        <v>1</v>
      </c>
      <c r="W86" s="2">
        <v>1</v>
      </c>
      <c r="X86" s="2">
        <v>1</v>
      </c>
      <c r="Y86" s="2">
        <v>0</v>
      </c>
      <c r="Z86" s="2">
        <v>1</v>
      </c>
      <c r="AA86" s="2">
        <v>1</v>
      </c>
      <c r="AB86" s="2">
        <v>0</v>
      </c>
      <c r="AC86" s="2">
        <v>0</v>
      </c>
      <c r="AD86" s="2">
        <v>1</v>
      </c>
      <c r="AE86" s="2">
        <v>0</v>
      </c>
      <c r="AF86" s="2">
        <v>0</v>
      </c>
    </row>
    <row r="87" spans="1:32" ht="18" customHeight="1">
      <c r="A87" s="2" t="s">
        <v>50</v>
      </c>
      <c r="B87" s="3">
        <f t="shared" si="2"/>
        <v>22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0</v>
      </c>
      <c r="X87" s="2">
        <v>1</v>
      </c>
      <c r="Y87" s="2">
        <v>0</v>
      </c>
      <c r="Z87" s="2">
        <v>0</v>
      </c>
      <c r="AA87" s="2">
        <v>0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</row>
    <row r="88" spans="1:32" ht="18" customHeight="1">
      <c r="A88" s="2" t="s">
        <v>137</v>
      </c>
      <c r="B88" s="3">
        <f t="shared" si="2"/>
        <v>8</v>
      </c>
      <c r="C88" s="2">
        <v>1</v>
      </c>
      <c r="D88" s="2">
        <v>0</v>
      </c>
      <c r="E88" s="2">
        <v>1</v>
      </c>
      <c r="F88" s="2">
        <v>1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</row>
    <row r="89" spans="1:32" ht="18" customHeight="1">
      <c r="A89" s="2" t="s">
        <v>35</v>
      </c>
      <c r="B89" s="3">
        <f t="shared" si="2"/>
        <v>27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0</v>
      </c>
      <c r="AC89" s="2">
        <v>0</v>
      </c>
      <c r="AD89" s="2">
        <v>1</v>
      </c>
      <c r="AE89" s="2">
        <v>0</v>
      </c>
      <c r="AF89" s="2">
        <v>1</v>
      </c>
    </row>
    <row r="90" spans="1:32" ht="18" customHeight="1">
      <c r="A90" s="2" t="s">
        <v>78</v>
      </c>
      <c r="B90" s="3">
        <f t="shared" si="2"/>
        <v>17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</v>
      </c>
      <c r="AC90" s="2">
        <v>1</v>
      </c>
      <c r="AD90" s="2">
        <v>0</v>
      </c>
      <c r="AE90" s="2">
        <v>0</v>
      </c>
      <c r="AF90" s="2">
        <v>0</v>
      </c>
    </row>
    <row r="91" spans="1:32" ht="18" customHeight="1">
      <c r="A91" s="2" t="s">
        <v>76</v>
      </c>
      <c r="B91" s="3">
        <f t="shared" si="2"/>
        <v>18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0</v>
      </c>
      <c r="P91" s="2">
        <v>1</v>
      </c>
      <c r="Q91" s="2">
        <v>0</v>
      </c>
      <c r="R91" s="2">
        <v>1</v>
      </c>
      <c r="S91" s="2">
        <v>0</v>
      </c>
      <c r="T91" s="2">
        <v>1</v>
      </c>
      <c r="U91" s="2">
        <v>0</v>
      </c>
      <c r="V91" s="2">
        <v>0</v>
      </c>
      <c r="W91" s="2">
        <v>1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0</v>
      </c>
      <c r="AE91" s="2">
        <v>0</v>
      </c>
      <c r="AF91" s="2">
        <v>0</v>
      </c>
    </row>
    <row r="92" spans="1:32" ht="18" customHeight="1">
      <c r="A92" s="2" t="s">
        <v>43</v>
      </c>
      <c r="B92" s="3">
        <f t="shared" si="2"/>
        <v>25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0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0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0</v>
      </c>
      <c r="AE92" s="2">
        <v>0</v>
      </c>
      <c r="AF92" s="2">
        <v>0</v>
      </c>
    </row>
    <row r="93" spans="1:32" ht="18" customHeight="1">
      <c r="A93" s="2" t="s">
        <v>126</v>
      </c>
      <c r="B93" s="3">
        <f t="shared" si="2"/>
        <v>10</v>
      </c>
      <c r="C93" s="2">
        <v>1</v>
      </c>
      <c r="D93" s="2">
        <v>1</v>
      </c>
      <c r="E93" s="2">
        <v>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0</v>
      </c>
      <c r="L93" s="2">
        <v>1</v>
      </c>
      <c r="M93" s="2">
        <v>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</row>
    <row r="94" spans="1:32" ht="18" customHeight="1">
      <c r="A94" s="2" t="s">
        <v>131</v>
      </c>
      <c r="B94" s="3">
        <f t="shared" ref="B94:B125" si="3">SUM(C94:AF94)</f>
        <v>9</v>
      </c>
      <c r="C94" s="2">
        <v>1</v>
      </c>
      <c r="D94" s="2">
        <v>1</v>
      </c>
      <c r="E94" s="2">
        <v>1</v>
      </c>
      <c r="F94" s="2">
        <v>0</v>
      </c>
      <c r="G94" s="2">
        <v>1</v>
      </c>
      <c r="H94" s="2">
        <v>1</v>
      </c>
      <c r="I94" s="2">
        <v>1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</row>
    <row r="95" spans="1:32" ht="18" customHeight="1">
      <c r="A95" s="2" t="s">
        <v>127</v>
      </c>
      <c r="B95" s="3">
        <f t="shared" si="3"/>
        <v>10</v>
      </c>
      <c r="C95" s="2">
        <v>0</v>
      </c>
      <c r="D95" s="2">
        <v>1</v>
      </c>
      <c r="E95" s="2">
        <v>1</v>
      </c>
      <c r="F95" s="2">
        <v>1</v>
      </c>
      <c r="G95" s="2">
        <v>0</v>
      </c>
      <c r="H95" s="2">
        <v>1</v>
      </c>
      <c r="I95" s="2">
        <v>1</v>
      </c>
      <c r="J95" s="2">
        <v>1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1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</row>
    <row r="96" spans="1:32" ht="18" customHeight="1">
      <c r="A96" s="2" t="s">
        <v>68</v>
      </c>
      <c r="B96" s="3">
        <f t="shared" si="3"/>
        <v>19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1</v>
      </c>
      <c r="O96" s="2">
        <v>1</v>
      </c>
      <c r="P96" s="2">
        <v>1</v>
      </c>
      <c r="Q96" s="2">
        <v>1</v>
      </c>
      <c r="R96" s="2">
        <v>0</v>
      </c>
      <c r="S96" s="2">
        <v>1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1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</row>
    <row r="97" spans="1:32" ht="18" customHeight="1">
      <c r="A97" s="2" t="s">
        <v>90</v>
      </c>
      <c r="B97" s="3">
        <f t="shared" si="3"/>
        <v>16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0</v>
      </c>
      <c r="S97" s="2">
        <v>1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0</v>
      </c>
      <c r="AD97" s="2">
        <v>0</v>
      </c>
      <c r="AE97" s="2">
        <v>1</v>
      </c>
      <c r="AF97" s="2">
        <v>0</v>
      </c>
    </row>
    <row r="98" spans="1:32" ht="18" customHeight="1">
      <c r="A98" s="2" t="s">
        <v>73</v>
      </c>
      <c r="B98" s="3">
        <f t="shared" si="3"/>
        <v>18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0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</row>
    <row r="99" spans="1:32" ht="18" customHeight="1">
      <c r="A99" s="2" t="s">
        <v>41</v>
      </c>
      <c r="B99" s="3">
        <f t="shared" si="3"/>
        <v>25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0</v>
      </c>
      <c r="X99" s="2">
        <v>1</v>
      </c>
      <c r="Y99" s="2">
        <v>0</v>
      </c>
      <c r="Z99" s="2">
        <v>1</v>
      </c>
      <c r="AA99" s="2">
        <v>1</v>
      </c>
      <c r="AB99" s="2">
        <v>0</v>
      </c>
      <c r="AC99" s="2">
        <v>1</v>
      </c>
      <c r="AD99" s="2">
        <v>1</v>
      </c>
      <c r="AE99" s="2">
        <v>0</v>
      </c>
      <c r="AF99" s="2">
        <v>1</v>
      </c>
    </row>
    <row r="100" spans="1:32" ht="18" customHeight="1">
      <c r="A100" s="2" t="s">
        <v>134</v>
      </c>
      <c r="B100" s="3">
        <f t="shared" si="3"/>
        <v>9</v>
      </c>
      <c r="C100" s="2">
        <v>1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1</v>
      </c>
      <c r="V100" s="2">
        <v>0</v>
      </c>
      <c r="W100" s="2">
        <v>0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</row>
    <row r="101" spans="1:32" ht="18" customHeight="1">
      <c r="A101" s="2" t="s">
        <v>141</v>
      </c>
      <c r="B101" s="3">
        <f t="shared" si="3"/>
        <v>6</v>
      </c>
      <c r="C101" s="2">
        <v>1</v>
      </c>
      <c r="D101" s="2">
        <v>0</v>
      </c>
      <c r="E101" s="2">
        <v>1</v>
      </c>
      <c r="F101" s="2">
        <v>0</v>
      </c>
      <c r="G101" s="2">
        <v>1</v>
      </c>
      <c r="H101" s="2">
        <v>0</v>
      </c>
      <c r="I101" s="2">
        <v>1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</row>
    <row r="102" spans="1:32" ht="18" customHeight="1">
      <c r="A102" s="2" t="s">
        <v>83</v>
      </c>
      <c r="B102" s="3">
        <f t="shared" si="3"/>
        <v>17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  <c r="T102" s="2">
        <v>1</v>
      </c>
      <c r="U102" s="2">
        <v>0</v>
      </c>
      <c r="V102" s="2">
        <v>0</v>
      </c>
      <c r="W102" s="2">
        <v>0</v>
      </c>
      <c r="X102" s="2">
        <v>1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</row>
    <row r="103" spans="1:32" ht="18" customHeight="1">
      <c r="A103" s="2" t="s">
        <v>70</v>
      </c>
      <c r="B103" s="3">
        <f t="shared" si="3"/>
        <v>18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0</v>
      </c>
      <c r="I103" s="2">
        <v>1</v>
      </c>
      <c r="J103" s="2">
        <v>0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1</v>
      </c>
      <c r="Q103" s="2">
        <v>0</v>
      </c>
      <c r="R103" s="2">
        <v>1</v>
      </c>
      <c r="S103" s="2">
        <v>1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</row>
    <row r="104" spans="1:32" ht="18" customHeight="1">
      <c r="A104" s="2" t="s">
        <v>107</v>
      </c>
      <c r="B104" s="3">
        <f t="shared" si="3"/>
        <v>14</v>
      </c>
      <c r="C104" s="2">
        <v>1</v>
      </c>
      <c r="D104" s="2">
        <v>1</v>
      </c>
      <c r="E104" s="2">
        <v>1</v>
      </c>
      <c r="F104" s="2">
        <v>0</v>
      </c>
      <c r="G104" s="2">
        <v>1</v>
      </c>
      <c r="H104" s="2">
        <v>1</v>
      </c>
      <c r="I104" s="2">
        <v>1</v>
      </c>
      <c r="J104" s="2">
        <v>1</v>
      </c>
      <c r="K104" s="2">
        <v>0</v>
      </c>
      <c r="L104" s="2">
        <v>1</v>
      </c>
      <c r="M104" s="2">
        <v>1</v>
      </c>
      <c r="N104" s="2">
        <v>0</v>
      </c>
      <c r="O104" s="2">
        <v>1</v>
      </c>
      <c r="P104" s="2">
        <v>0</v>
      </c>
      <c r="Q104" s="2">
        <v>1</v>
      </c>
      <c r="R104" s="2">
        <v>1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</row>
    <row r="105" spans="1:32" ht="18" customHeight="1">
      <c r="A105" s="2" t="s">
        <v>147</v>
      </c>
      <c r="B105" s="3">
        <f t="shared" si="3"/>
        <v>4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</row>
    <row r="106" spans="1:32" ht="18" customHeight="1">
      <c r="A106" s="2" t="s">
        <v>51</v>
      </c>
      <c r="B106" s="3">
        <f t="shared" si="3"/>
        <v>22</v>
      </c>
      <c r="C106" s="2">
        <v>1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0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0</v>
      </c>
      <c r="V106" s="2">
        <v>1</v>
      </c>
      <c r="W106" s="2">
        <v>1</v>
      </c>
      <c r="X106" s="2">
        <v>0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</v>
      </c>
    </row>
    <row r="107" spans="1:32" ht="18" customHeight="1">
      <c r="A107" s="2" t="s">
        <v>81</v>
      </c>
      <c r="B107" s="3">
        <f t="shared" si="3"/>
        <v>17</v>
      </c>
      <c r="C107" s="2">
        <v>1</v>
      </c>
      <c r="D107" s="2">
        <v>1</v>
      </c>
      <c r="E107" s="2">
        <v>1</v>
      </c>
      <c r="F107" s="2">
        <v>0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</v>
      </c>
      <c r="R107" s="2">
        <v>1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1</v>
      </c>
      <c r="AD107" s="2">
        <v>0</v>
      </c>
      <c r="AE107" s="2">
        <v>0</v>
      </c>
      <c r="AF107" s="2">
        <v>0</v>
      </c>
    </row>
    <row r="108" spans="1:32" ht="18" customHeight="1">
      <c r="A108" s="2" t="s">
        <v>101</v>
      </c>
      <c r="B108" s="3">
        <f t="shared" si="3"/>
        <v>15</v>
      </c>
      <c r="C108" s="2">
        <v>1</v>
      </c>
      <c r="D108" s="2">
        <v>1</v>
      </c>
      <c r="E108" s="2">
        <v>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  <c r="T108" s="2">
        <v>0</v>
      </c>
      <c r="U108" s="2">
        <v>0</v>
      </c>
      <c r="V108" s="2">
        <v>1</v>
      </c>
      <c r="W108" s="2">
        <v>0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</row>
    <row r="109" spans="1:32" ht="18" customHeight="1">
      <c r="A109" s="2" t="s">
        <v>38</v>
      </c>
      <c r="B109" s="3">
        <f t="shared" si="3"/>
        <v>26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0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0</v>
      </c>
      <c r="T109" s="2">
        <v>1</v>
      </c>
      <c r="U109" s="2">
        <v>0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0</v>
      </c>
      <c r="AF109" s="2">
        <v>1</v>
      </c>
    </row>
    <row r="110" spans="1:32" ht="18" customHeight="1">
      <c r="A110" s="2" t="s">
        <v>138</v>
      </c>
      <c r="B110" s="3">
        <f t="shared" si="3"/>
        <v>8</v>
      </c>
      <c r="C110" s="2">
        <v>0</v>
      </c>
      <c r="D110" s="2">
        <v>0</v>
      </c>
      <c r="E110" s="2">
        <v>1</v>
      </c>
      <c r="F110" s="2">
        <v>1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  <c r="T110" s="2">
        <v>1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</row>
    <row r="111" spans="1:32" ht="18" customHeight="1">
      <c r="A111" s="2" t="s">
        <v>45</v>
      </c>
      <c r="B111" s="3">
        <f t="shared" si="3"/>
        <v>23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0</v>
      </c>
      <c r="V111" s="2">
        <v>1</v>
      </c>
      <c r="W111" s="2">
        <v>0</v>
      </c>
      <c r="X111" s="2">
        <v>1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</row>
    <row r="112" spans="1:32" ht="18" customHeight="1">
      <c r="A112" s="2" t="s">
        <v>98</v>
      </c>
      <c r="B112" s="3">
        <f t="shared" si="3"/>
        <v>15</v>
      </c>
      <c r="C112" s="2">
        <v>1</v>
      </c>
      <c r="D112" s="2">
        <v>0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0</v>
      </c>
      <c r="S112" s="2">
        <v>1</v>
      </c>
      <c r="T112" s="2">
        <v>0</v>
      </c>
      <c r="U112" s="2">
        <v>0</v>
      </c>
      <c r="V112" s="2">
        <v>1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</row>
    <row r="113" spans="1:33" ht="18" customHeight="1">
      <c r="A113" s="2" t="s">
        <v>142</v>
      </c>
      <c r="B113" s="3">
        <f t="shared" si="3"/>
        <v>6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1</v>
      </c>
      <c r="O113" s="2">
        <v>1</v>
      </c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</row>
    <row r="114" spans="1:33" ht="18" customHeight="1">
      <c r="A114" s="2" t="s">
        <v>145</v>
      </c>
      <c r="B114" s="3">
        <f t="shared" si="3"/>
        <v>5</v>
      </c>
      <c r="C114" s="2">
        <v>0</v>
      </c>
      <c r="D114" s="2">
        <v>1</v>
      </c>
      <c r="E114" s="2">
        <v>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</row>
    <row r="115" spans="1:33" ht="18" customHeight="1">
      <c r="A115" s="2" t="s">
        <v>36</v>
      </c>
      <c r="B115" s="3">
        <f t="shared" si="3"/>
        <v>27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0</v>
      </c>
      <c r="V115" s="2">
        <v>1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0</v>
      </c>
      <c r="AE115" s="2">
        <v>0</v>
      </c>
      <c r="AF115" s="2">
        <v>1</v>
      </c>
    </row>
    <row r="116" spans="1:33" ht="18" customHeight="1">
      <c r="A116" s="2" t="s">
        <v>128</v>
      </c>
      <c r="B116" s="3">
        <f t="shared" si="3"/>
        <v>10</v>
      </c>
      <c r="C116" s="2">
        <v>1</v>
      </c>
      <c r="D116" s="2">
        <v>0</v>
      </c>
      <c r="E116" s="2">
        <v>0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</row>
    <row r="117" spans="1:33" ht="18" customHeight="1">
      <c r="A117" s="2" t="s">
        <v>117</v>
      </c>
      <c r="B117" s="3">
        <f t="shared" si="3"/>
        <v>12</v>
      </c>
      <c r="C117" s="2">
        <v>1</v>
      </c>
      <c r="D117" s="2">
        <v>1</v>
      </c>
      <c r="E117" s="2">
        <v>1</v>
      </c>
      <c r="F117" s="2">
        <v>0</v>
      </c>
      <c r="G117" s="2">
        <v>1</v>
      </c>
      <c r="H117" s="2">
        <v>1</v>
      </c>
      <c r="I117" s="2">
        <v>1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</v>
      </c>
    </row>
    <row r="118" spans="1:33" ht="18" customHeight="1">
      <c r="A118" s="2" t="s">
        <v>120</v>
      </c>
      <c r="B118" s="3">
        <f t="shared" si="3"/>
        <v>11</v>
      </c>
      <c r="C118" s="2">
        <v>1</v>
      </c>
      <c r="D118" s="2">
        <v>0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0</v>
      </c>
      <c r="L118" s="2">
        <v>1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</row>
    <row r="119" spans="1:33" ht="18" customHeight="1">
      <c r="A119" s="2" t="s">
        <v>67</v>
      </c>
      <c r="B119" s="3">
        <f t="shared" si="3"/>
        <v>19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1</v>
      </c>
      <c r="R119" s="2">
        <v>0</v>
      </c>
      <c r="S119" s="2">
        <v>1</v>
      </c>
      <c r="T119" s="2">
        <v>1</v>
      </c>
      <c r="U119" s="2">
        <v>1</v>
      </c>
      <c r="V119" s="2">
        <v>1</v>
      </c>
      <c r="W119" s="2">
        <v>0</v>
      </c>
      <c r="X119" s="2">
        <v>0</v>
      </c>
      <c r="Y119" s="2">
        <v>1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</row>
    <row r="120" spans="1:33" ht="18" customHeight="1">
      <c r="A120" s="2" t="s">
        <v>52</v>
      </c>
      <c r="B120" s="3">
        <f t="shared" si="3"/>
        <v>22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1</v>
      </c>
      <c r="S120" s="2">
        <v>0</v>
      </c>
      <c r="T120" s="2">
        <v>1</v>
      </c>
      <c r="U120" s="2">
        <v>1</v>
      </c>
      <c r="V120" s="2">
        <v>0</v>
      </c>
      <c r="W120" s="2">
        <v>1</v>
      </c>
      <c r="X120" s="2">
        <v>1</v>
      </c>
      <c r="Y120" s="2">
        <v>0</v>
      </c>
      <c r="Z120" s="2">
        <v>1</v>
      </c>
      <c r="AA120" s="2">
        <v>0</v>
      </c>
      <c r="AB120" s="2">
        <v>1</v>
      </c>
      <c r="AC120" s="2">
        <v>0</v>
      </c>
      <c r="AD120" s="2">
        <v>1</v>
      </c>
      <c r="AE120" s="2">
        <v>0</v>
      </c>
      <c r="AF120" s="2">
        <v>0</v>
      </c>
    </row>
    <row r="121" spans="1:33" ht="18" customHeight="1">
      <c r="A121" s="2" t="s">
        <v>92</v>
      </c>
      <c r="B121" s="3">
        <f t="shared" si="3"/>
        <v>16</v>
      </c>
      <c r="C121" s="2">
        <v>1</v>
      </c>
      <c r="D121" s="2">
        <v>0</v>
      </c>
      <c r="E121" s="2">
        <v>1</v>
      </c>
      <c r="F121" s="2">
        <v>1</v>
      </c>
      <c r="G121" s="2">
        <v>1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0</v>
      </c>
      <c r="N121" s="2">
        <v>0</v>
      </c>
      <c r="O121" s="2">
        <v>1</v>
      </c>
      <c r="P121" s="2">
        <v>1</v>
      </c>
      <c r="Q121" s="2">
        <v>1</v>
      </c>
      <c r="R121" s="2">
        <v>0</v>
      </c>
      <c r="S121" s="2">
        <v>1</v>
      </c>
      <c r="T121" s="2">
        <v>1</v>
      </c>
      <c r="U121" s="2">
        <v>1</v>
      </c>
      <c r="V121" s="2">
        <v>0</v>
      </c>
      <c r="W121" s="2">
        <v>0</v>
      </c>
      <c r="X121" s="2">
        <v>1</v>
      </c>
      <c r="Y121" s="2">
        <v>0</v>
      </c>
      <c r="Z121" s="2">
        <v>0</v>
      </c>
      <c r="AA121" s="2">
        <v>1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</row>
    <row r="122" spans="1:33">
      <c r="B122" s="11"/>
      <c r="C122" s="11">
        <f>SUM(C2:C121)</f>
        <v>105</v>
      </c>
      <c r="D122" s="11">
        <f t="shared" ref="D122:AF122" si="4">SUM(D2:D121)</f>
        <v>100</v>
      </c>
      <c r="E122" s="11">
        <f t="shared" si="4"/>
        <v>100</v>
      </c>
      <c r="F122" s="11">
        <f t="shared" si="4"/>
        <v>93</v>
      </c>
      <c r="G122" s="11">
        <f t="shared" si="4"/>
        <v>102</v>
      </c>
      <c r="H122" s="11">
        <f t="shared" si="4"/>
        <v>95</v>
      </c>
      <c r="I122" s="11">
        <f t="shared" si="4"/>
        <v>99</v>
      </c>
      <c r="J122" s="11">
        <f t="shared" si="4"/>
        <v>96</v>
      </c>
      <c r="K122" s="11">
        <f t="shared" si="4"/>
        <v>90</v>
      </c>
      <c r="L122" s="11">
        <f t="shared" si="4"/>
        <v>80</v>
      </c>
      <c r="M122" s="11">
        <f t="shared" si="4"/>
        <v>81</v>
      </c>
      <c r="N122" s="11">
        <f t="shared" si="4"/>
        <v>71</v>
      </c>
      <c r="O122" s="11">
        <f t="shared" si="4"/>
        <v>72</v>
      </c>
      <c r="P122" s="11">
        <f t="shared" si="4"/>
        <v>64</v>
      </c>
      <c r="Q122" s="11">
        <f t="shared" si="4"/>
        <v>65</v>
      </c>
      <c r="R122" s="11">
        <f t="shared" si="4"/>
        <v>58</v>
      </c>
      <c r="S122" s="11">
        <f t="shared" si="4"/>
        <v>52</v>
      </c>
      <c r="T122" s="11">
        <f t="shared" si="4"/>
        <v>58</v>
      </c>
      <c r="U122" s="11">
        <f t="shared" si="4"/>
        <v>40</v>
      </c>
      <c r="V122" s="11">
        <f t="shared" si="4"/>
        <v>41</v>
      </c>
      <c r="W122" s="11">
        <f t="shared" si="4"/>
        <v>36</v>
      </c>
      <c r="X122" s="11">
        <f t="shared" si="4"/>
        <v>36</v>
      </c>
      <c r="Y122" s="11">
        <f t="shared" si="4"/>
        <v>35</v>
      </c>
      <c r="Z122" s="11">
        <f t="shared" si="4"/>
        <v>38</v>
      </c>
      <c r="AA122" s="11">
        <f t="shared" si="4"/>
        <v>30</v>
      </c>
      <c r="AB122" s="11">
        <f t="shared" si="4"/>
        <v>24</v>
      </c>
      <c r="AC122" s="11">
        <f t="shared" si="4"/>
        <v>25</v>
      </c>
      <c r="AD122" s="11">
        <f t="shared" si="4"/>
        <v>12</v>
      </c>
      <c r="AE122" s="11">
        <f t="shared" si="4"/>
        <v>15</v>
      </c>
      <c r="AF122" s="11">
        <f t="shared" si="4"/>
        <v>9</v>
      </c>
    </row>
    <row r="123" spans="1:33" ht="15.6">
      <c r="A123" s="22" t="s">
        <v>154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20.100000000000001" customHeight="1">
      <c r="A124" s="20" t="s">
        <v>155</v>
      </c>
      <c r="B124" s="21"/>
      <c r="C124">
        <f>SUM(C2:C33)</f>
        <v>26</v>
      </c>
      <c r="D124">
        <f t="shared" ref="D124:AF124" si="5">SUM(D2:D33)</f>
        <v>27</v>
      </c>
      <c r="E124">
        <f t="shared" si="5"/>
        <v>26</v>
      </c>
      <c r="F124">
        <f t="shared" si="5"/>
        <v>21</v>
      </c>
      <c r="G124">
        <f t="shared" si="5"/>
        <v>26</v>
      </c>
      <c r="H124">
        <f t="shared" si="5"/>
        <v>23</v>
      </c>
      <c r="I124">
        <f t="shared" si="5"/>
        <v>24</v>
      </c>
      <c r="J124">
        <f t="shared" si="5"/>
        <v>25</v>
      </c>
      <c r="K124">
        <f t="shared" si="5"/>
        <v>24</v>
      </c>
      <c r="L124">
        <f t="shared" si="5"/>
        <v>19</v>
      </c>
      <c r="M124">
        <f t="shared" si="5"/>
        <v>20</v>
      </c>
      <c r="N124">
        <f t="shared" si="5"/>
        <v>14</v>
      </c>
      <c r="O124">
        <f t="shared" si="5"/>
        <v>21</v>
      </c>
      <c r="P124">
        <f t="shared" si="5"/>
        <v>16</v>
      </c>
      <c r="Q124">
        <f t="shared" si="5"/>
        <v>14</v>
      </c>
      <c r="R124">
        <f t="shared" si="5"/>
        <v>16</v>
      </c>
      <c r="S124">
        <f t="shared" si="5"/>
        <v>12</v>
      </c>
      <c r="T124">
        <f t="shared" si="5"/>
        <v>15</v>
      </c>
      <c r="U124">
        <f t="shared" si="5"/>
        <v>13</v>
      </c>
      <c r="V124">
        <f t="shared" si="5"/>
        <v>10</v>
      </c>
      <c r="W124">
        <f t="shared" si="5"/>
        <v>8</v>
      </c>
      <c r="X124">
        <f t="shared" si="5"/>
        <v>5</v>
      </c>
      <c r="Y124">
        <f t="shared" si="5"/>
        <v>9</v>
      </c>
      <c r="Z124">
        <f t="shared" si="5"/>
        <v>7</v>
      </c>
      <c r="AA124">
        <f t="shared" si="5"/>
        <v>5</v>
      </c>
      <c r="AB124">
        <f t="shared" si="5"/>
        <v>4</v>
      </c>
      <c r="AC124">
        <f t="shared" si="5"/>
        <v>5</v>
      </c>
      <c r="AD124">
        <f t="shared" si="5"/>
        <v>5</v>
      </c>
      <c r="AE124">
        <f t="shared" si="5"/>
        <v>4</v>
      </c>
      <c r="AF124">
        <f t="shared" si="5"/>
        <v>2</v>
      </c>
    </row>
    <row r="125" spans="1:33" ht="20.100000000000001" customHeight="1">
      <c r="A125" s="20" t="s">
        <v>156</v>
      </c>
      <c r="B125" s="21"/>
      <c r="C125" s="4">
        <f>SUM(C90:C121)</f>
        <v>29</v>
      </c>
      <c r="D125" s="4">
        <f t="shared" ref="D125:AF125" si="6">SUM(D90:D121)</f>
        <v>25</v>
      </c>
      <c r="E125" s="4">
        <f t="shared" si="6"/>
        <v>27</v>
      </c>
      <c r="F125" s="4">
        <f t="shared" si="6"/>
        <v>25</v>
      </c>
      <c r="G125" s="4">
        <f t="shared" si="6"/>
        <v>27</v>
      </c>
      <c r="H125" s="4">
        <f t="shared" si="6"/>
        <v>24</v>
      </c>
      <c r="I125" s="4">
        <f t="shared" si="6"/>
        <v>27</v>
      </c>
      <c r="J125" s="4">
        <f t="shared" si="6"/>
        <v>24</v>
      </c>
      <c r="K125" s="4">
        <f t="shared" si="6"/>
        <v>22</v>
      </c>
      <c r="L125" s="4">
        <f t="shared" si="6"/>
        <v>23</v>
      </c>
      <c r="M125" s="4">
        <f t="shared" si="6"/>
        <v>21</v>
      </c>
      <c r="N125" s="4">
        <f t="shared" si="6"/>
        <v>17</v>
      </c>
      <c r="O125" s="4">
        <f t="shared" si="6"/>
        <v>20</v>
      </c>
      <c r="P125" s="4">
        <f t="shared" si="6"/>
        <v>18</v>
      </c>
      <c r="Q125" s="4">
        <f t="shared" si="6"/>
        <v>21</v>
      </c>
      <c r="R125" s="4">
        <f t="shared" si="6"/>
        <v>12</v>
      </c>
      <c r="S125" s="4">
        <f t="shared" si="6"/>
        <v>15</v>
      </c>
      <c r="T125" s="4">
        <f t="shared" si="6"/>
        <v>18</v>
      </c>
      <c r="U125" s="4">
        <f t="shared" si="6"/>
        <v>10</v>
      </c>
      <c r="V125" s="4">
        <f t="shared" si="6"/>
        <v>13</v>
      </c>
      <c r="W125" s="4">
        <f t="shared" si="6"/>
        <v>7</v>
      </c>
      <c r="X125" s="4">
        <f t="shared" si="6"/>
        <v>11</v>
      </c>
      <c r="Y125" s="4">
        <f t="shared" si="6"/>
        <v>11</v>
      </c>
      <c r="Z125" s="4">
        <f t="shared" si="6"/>
        <v>11</v>
      </c>
      <c r="AA125" s="4">
        <f t="shared" si="6"/>
        <v>7</v>
      </c>
      <c r="AB125" s="4">
        <f t="shared" si="6"/>
        <v>7</v>
      </c>
      <c r="AC125" s="4">
        <f t="shared" si="6"/>
        <v>8</v>
      </c>
      <c r="AD125" s="4">
        <f t="shared" si="6"/>
        <v>3</v>
      </c>
      <c r="AE125" s="4">
        <f t="shared" si="6"/>
        <v>1</v>
      </c>
      <c r="AF125" s="4">
        <f t="shared" si="6"/>
        <v>5</v>
      </c>
    </row>
    <row r="126" spans="1:33" s="7" customFormat="1" ht="20.100000000000001" customHeight="1">
      <c r="A126" s="20" t="s">
        <v>0</v>
      </c>
      <c r="B126" s="21"/>
      <c r="C126" s="12">
        <f>C122/120</f>
        <v>0.875</v>
      </c>
      <c r="D126" s="12">
        <f t="shared" ref="D126:AF126" si="7">D122/120</f>
        <v>0.83333333333333337</v>
      </c>
      <c r="E126" s="12">
        <f t="shared" si="7"/>
        <v>0.83333333333333337</v>
      </c>
      <c r="F126" s="12">
        <f t="shared" si="7"/>
        <v>0.77500000000000002</v>
      </c>
      <c r="G126" s="12">
        <f t="shared" si="7"/>
        <v>0.85</v>
      </c>
      <c r="H126" s="12">
        <f t="shared" si="7"/>
        <v>0.79166666666666663</v>
      </c>
      <c r="I126" s="12">
        <f t="shared" si="7"/>
        <v>0.82499999999999996</v>
      </c>
      <c r="J126" s="12">
        <f t="shared" si="7"/>
        <v>0.8</v>
      </c>
      <c r="K126" s="12">
        <f t="shared" si="7"/>
        <v>0.75</v>
      </c>
      <c r="L126" s="12">
        <f t="shared" si="7"/>
        <v>0.66666666666666663</v>
      </c>
      <c r="M126" s="12">
        <f t="shared" si="7"/>
        <v>0.67500000000000004</v>
      </c>
      <c r="N126" s="12">
        <f t="shared" si="7"/>
        <v>0.59166666666666667</v>
      </c>
      <c r="O126" s="12">
        <f t="shared" si="7"/>
        <v>0.6</v>
      </c>
      <c r="P126" s="12">
        <f t="shared" si="7"/>
        <v>0.53333333333333333</v>
      </c>
      <c r="Q126" s="12">
        <f t="shared" si="7"/>
        <v>0.54166666666666663</v>
      </c>
      <c r="R126" s="12">
        <f t="shared" si="7"/>
        <v>0.48333333333333334</v>
      </c>
      <c r="S126" s="12">
        <f t="shared" si="7"/>
        <v>0.43333333333333335</v>
      </c>
      <c r="T126" s="12">
        <f t="shared" si="7"/>
        <v>0.48333333333333334</v>
      </c>
      <c r="U126" s="12">
        <f t="shared" si="7"/>
        <v>0.33333333333333331</v>
      </c>
      <c r="V126" s="12">
        <f t="shared" si="7"/>
        <v>0.34166666666666667</v>
      </c>
      <c r="W126" s="12">
        <f t="shared" si="7"/>
        <v>0.3</v>
      </c>
      <c r="X126" s="12">
        <f t="shared" si="7"/>
        <v>0.3</v>
      </c>
      <c r="Y126" s="12">
        <f t="shared" si="7"/>
        <v>0.29166666666666669</v>
      </c>
      <c r="Z126" s="12">
        <f t="shared" si="7"/>
        <v>0.31666666666666665</v>
      </c>
      <c r="AA126" s="12">
        <f t="shared" si="7"/>
        <v>0.25</v>
      </c>
      <c r="AB126" s="12">
        <f t="shared" si="7"/>
        <v>0.2</v>
      </c>
      <c r="AC126" s="12">
        <f t="shared" si="7"/>
        <v>0.20833333333333334</v>
      </c>
      <c r="AD126" s="12">
        <f t="shared" si="7"/>
        <v>0.1</v>
      </c>
      <c r="AE126" s="12">
        <f t="shared" si="7"/>
        <v>0.125</v>
      </c>
      <c r="AF126" s="12">
        <f t="shared" si="7"/>
        <v>7.4999999999999997E-2</v>
      </c>
    </row>
    <row r="127" spans="1:33" ht="20.100000000000001" customHeight="1">
      <c r="A127" s="20" t="s">
        <v>157</v>
      </c>
      <c r="B127" s="21"/>
      <c r="C127" s="5" t="str">
        <f>IF(C126&gt;=0.71, "Easy", IF(C126&gt;=0.3, "Average", "Difficult"))</f>
        <v>Easy</v>
      </c>
      <c r="D127" s="5" t="str">
        <f t="shared" ref="D127:AF127" si="8">IF(D126&gt;=0.71, "Easy", IF(D126&gt;=0.3, "Average", "Difficult"))</f>
        <v>Easy</v>
      </c>
      <c r="E127" s="5" t="str">
        <f t="shared" si="8"/>
        <v>Easy</v>
      </c>
      <c r="F127" s="5" t="str">
        <f t="shared" si="8"/>
        <v>Easy</v>
      </c>
      <c r="G127" s="5" t="str">
        <f t="shared" si="8"/>
        <v>Easy</v>
      </c>
      <c r="H127" s="5" t="str">
        <f t="shared" si="8"/>
        <v>Easy</v>
      </c>
      <c r="I127" s="5" t="str">
        <f t="shared" si="8"/>
        <v>Easy</v>
      </c>
      <c r="J127" s="5" t="str">
        <f t="shared" si="8"/>
        <v>Easy</v>
      </c>
      <c r="K127" s="5" t="str">
        <f t="shared" si="8"/>
        <v>Easy</v>
      </c>
      <c r="L127" s="5" t="str">
        <f t="shared" si="8"/>
        <v>Average</v>
      </c>
      <c r="M127" s="5" t="str">
        <f t="shared" si="8"/>
        <v>Average</v>
      </c>
      <c r="N127" s="5" t="str">
        <f t="shared" si="8"/>
        <v>Average</v>
      </c>
      <c r="O127" s="5" t="str">
        <f t="shared" si="8"/>
        <v>Average</v>
      </c>
      <c r="P127" s="5" t="str">
        <f t="shared" si="8"/>
        <v>Average</v>
      </c>
      <c r="Q127" s="5" t="str">
        <f t="shared" si="8"/>
        <v>Average</v>
      </c>
      <c r="R127" s="5" t="str">
        <f t="shared" si="8"/>
        <v>Average</v>
      </c>
      <c r="S127" s="5" t="str">
        <f t="shared" si="8"/>
        <v>Average</v>
      </c>
      <c r="T127" s="5" t="str">
        <f t="shared" si="8"/>
        <v>Average</v>
      </c>
      <c r="U127" s="5" t="str">
        <f t="shared" si="8"/>
        <v>Average</v>
      </c>
      <c r="V127" s="5" t="str">
        <f t="shared" si="8"/>
        <v>Average</v>
      </c>
      <c r="W127" s="5" t="str">
        <f t="shared" si="8"/>
        <v>Average</v>
      </c>
      <c r="X127" s="5" t="str">
        <f t="shared" si="8"/>
        <v>Average</v>
      </c>
      <c r="Y127" s="5" t="str">
        <f t="shared" si="8"/>
        <v>Difficult</v>
      </c>
      <c r="Z127" s="5" t="str">
        <f t="shared" si="8"/>
        <v>Average</v>
      </c>
      <c r="AA127" s="5" t="str">
        <f t="shared" si="8"/>
        <v>Difficult</v>
      </c>
      <c r="AB127" s="5" t="str">
        <f t="shared" si="8"/>
        <v>Difficult</v>
      </c>
      <c r="AC127" s="5" t="str">
        <f t="shared" si="8"/>
        <v>Difficult</v>
      </c>
      <c r="AD127" s="5" t="str">
        <f t="shared" si="8"/>
        <v>Difficult</v>
      </c>
      <c r="AE127" s="5" t="str">
        <f t="shared" si="8"/>
        <v>Difficult</v>
      </c>
      <c r="AF127" s="5" t="str">
        <f t="shared" si="8"/>
        <v>Difficult</v>
      </c>
    </row>
    <row r="128" spans="1:33" s="8" customFormat="1" ht="20.100000000000001" customHeight="1">
      <c r="A128" s="20" t="s">
        <v>1</v>
      </c>
      <c r="B128" s="21"/>
      <c r="C128" s="13">
        <f>(C124-C125)/32</f>
        <v>-9.375E-2</v>
      </c>
      <c r="D128" s="13">
        <f t="shared" ref="D128:AF128" si="9">(D124-D125)/32</f>
        <v>6.25E-2</v>
      </c>
      <c r="E128" s="13">
        <f t="shared" si="9"/>
        <v>-3.125E-2</v>
      </c>
      <c r="F128" s="13">
        <f t="shared" si="9"/>
        <v>-0.125</v>
      </c>
      <c r="G128" s="13">
        <f t="shared" si="9"/>
        <v>-3.125E-2</v>
      </c>
      <c r="H128" s="13">
        <f t="shared" si="9"/>
        <v>-3.125E-2</v>
      </c>
      <c r="I128" s="13">
        <f t="shared" si="9"/>
        <v>-9.375E-2</v>
      </c>
      <c r="J128" s="13">
        <f t="shared" si="9"/>
        <v>3.125E-2</v>
      </c>
      <c r="K128" s="13">
        <f t="shared" si="9"/>
        <v>6.25E-2</v>
      </c>
      <c r="L128" s="13">
        <f t="shared" si="9"/>
        <v>-0.125</v>
      </c>
      <c r="M128" s="13">
        <f t="shared" si="9"/>
        <v>-3.125E-2</v>
      </c>
      <c r="N128" s="13">
        <f t="shared" si="9"/>
        <v>-9.375E-2</v>
      </c>
      <c r="O128" s="13">
        <f t="shared" si="9"/>
        <v>3.125E-2</v>
      </c>
      <c r="P128" s="13">
        <f t="shared" si="9"/>
        <v>-6.25E-2</v>
      </c>
      <c r="Q128" s="13">
        <f t="shared" si="9"/>
        <v>-0.21875</v>
      </c>
      <c r="R128" s="13">
        <f t="shared" si="9"/>
        <v>0.125</v>
      </c>
      <c r="S128" s="13">
        <f t="shared" si="9"/>
        <v>-9.375E-2</v>
      </c>
      <c r="T128" s="13">
        <f t="shared" si="9"/>
        <v>-9.375E-2</v>
      </c>
      <c r="U128" s="13">
        <f t="shared" si="9"/>
        <v>9.375E-2</v>
      </c>
      <c r="V128" s="13">
        <f t="shared" si="9"/>
        <v>-9.375E-2</v>
      </c>
      <c r="W128" s="13">
        <f t="shared" si="9"/>
        <v>3.125E-2</v>
      </c>
      <c r="X128" s="13">
        <f t="shared" si="9"/>
        <v>-0.1875</v>
      </c>
      <c r="Y128" s="13">
        <f t="shared" si="9"/>
        <v>-6.25E-2</v>
      </c>
      <c r="Z128" s="13">
        <f t="shared" si="9"/>
        <v>-0.125</v>
      </c>
      <c r="AA128" s="13">
        <f t="shared" si="9"/>
        <v>-6.25E-2</v>
      </c>
      <c r="AB128" s="13">
        <f t="shared" si="9"/>
        <v>-9.375E-2</v>
      </c>
      <c r="AC128" s="13">
        <f t="shared" si="9"/>
        <v>-9.375E-2</v>
      </c>
      <c r="AD128" s="13">
        <f t="shared" si="9"/>
        <v>6.25E-2</v>
      </c>
      <c r="AE128" s="13">
        <f t="shared" si="9"/>
        <v>9.375E-2</v>
      </c>
      <c r="AF128" s="13">
        <f t="shared" si="9"/>
        <v>-9.375E-2</v>
      </c>
    </row>
    <row r="129" spans="1:32" ht="20.100000000000001" customHeight="1">
      <c r="A129" s="20" t="s">
        <v>158</v>
      </c>
      <c r="B129" s="21"/>
      <c r="C129" s="5" t="str">
        <f>IF(C128&lt;=-0.5, "Questionable", IF(C128&lt;=0.45, "Non-discriminating", IF(C128&lt;=1, "Discriminating", "")))</f>
        <v>Non-discriminating</v>
      </c>
      <c r="D129" s="5" t="str">
        <f t="shared" ref="D129:AF129" si="10">IF(D128&lt;=-0.5, "Questionable", IF(D128&lt;=0.45, "Non-discriminating", IF(D128&lt;=1, "Discriminating", "")))</f>
        <v>Non-discriminating</v>
      </c>
      <c r="E129" s="5" t="str">
        <f t="shared" si="10"/>
        <v>Non-discriminating</v>
      </c>
      <c r="F129" s="5" t="str">
        <f t="shared" si="10"/>
        <v>Non-discriminating</v>
      </c>
      <c r="G129" s="5" t="str">
        <f t="shared" si="10"/>
        <v>Non-discriminating</v>
      </c>
      <c r="H129" s="5" t="str">
        <f t="shared" si="10"/>
        <v>Non-discriminating</v>
      </c>
      <c r="I129" s="5" t="str">
        <f t="shared" si="10"/>
        <v>Non-discriminating</v>
      </c>
      <c r="J129" s="5" t="str">
        <f t="shared" si="10"/>
        <v>Non-discriminating</v>
      </c>
      <c r="K129" s="5" t="str">
        <f t="shared" si="10"/>
        <v>Non-discriminating</v>
      </c>
      <c r="L129" s="5" t="str">
        <f t="shared" si="10"/>
        <v>Non-discriminating</v>
      </c>
      <c r="M129" s="5" t="str">
        <f t="shared" si="10"/>
        <v>Non-discriminating</v>
      </c>
      <c r="N129" s="5" t="str">
        <f t="shared" si="10"/>
        <v>Non-discriminating</v>
      </c>
      <c r="O129" s="5" t="str">
        <f t="shared" si="10"/>
        <v>Non-discriminating</v>
      </c>
      <c r="P129" s="5" t="str">
        <f t="shared" si="10"/>
        <v>Non-discriminating</v>
      </c>
      <c r="Q129" s="5" t="str">
        <f t="shared" si="10"/>
        <v>Non-discriminating</v>
      </c>
      <c r="R129" s="5" t="str">
        <f t="shared" si="10"/>
        <v>Non-discriminating</v>
      </c>
      <c r="S129" s="5" t="str">
        <f t="shared" si="10"/>
        <v>Non-discriminating</v>
      </c>
      <c r="T129" s="5" t="str">
        <f t="shared" si="10"/>
        <v>Non-discriminating</v>
      </c>
      <c r="U129" s="5" t="str">
        <f t="shared" si="10"/>
        <v>Non-discriminating</v>
      </c>
      <c r="V129" s="5" t="str">
        <f t="shared" si="10"/>
        <v>Non-discriminating</v>
      </c>
      <c r="W129" s="5" t="str">
        <f t="shared" si="10"/>
        <v>Non-discriminating</v>
      </c>
      <c r="X129" s="5" t="str">
        <f t="shared" si="10"/>
        <v>Non-discriminating</v>
      </c>
      <c r="Y129" s="5" t="str">
        <f t="shared" si="10"/>
        <v>Non-discriminating</v>
      </c>
      <c r="Z129" s="5" t="str">
        <f t="shared" si="10"/>
        <v>Non-discriminating</v>
      </c>
      <c r="AA129" s="5" t="str">
        <f t="shared" si="10"/>
        <v>Non-discriminating</v>
      </c>
      <c r="AB129" s="5" t="str">
        <f t="shared" si="10"/>
        <v>Non-discriminating</v>
      </c>
      <c r="AC129" s="5" t="str">
        <f t="shared" si="10"/>
        <v>Non-discriminating</v>
      </c>
      <c r="AD129" s="5" t="str">
        <f t="shared" si="10"/>
        <v>Non-discriminating</v>
      </c>
      <c r="AE129" s="5" t="str">
        <f t="shared" si="10"/>
        <v>Non-discriminating</v>
      </c>
      <c r="AF129" s="5" t="str">
        <f t="shared" si="10"/>
        <v>Non-discriminating</v>
      </c>
    </row>
    <row r="130" spans="1:32" s="10" customFormat="1" ht="20.100000000000001" customHeight="1">
      <c r="A130" s="20" t="s">
        <v>159</v>
      </c>
      <c r="B130" s="21"/>
      <c r="C130" s="14" t="str">
        <f>IF(C128&lt;=-0.5, "Discard", IF(C128&lt;=0.45, "Revise", IF(C128&lt;=1, "Retain", "")))</f>
        <v>Revise</v>
      </c>
      <c r="D130" s="14" t="str">
        <f t="shared" ref="D130:AF130" si="11">IF(D128&lt;=-0.5, "Discard", IF(D128&lt;=0.45, "Revise", IF(D128&lt;=1, "Retain", "")))</f>
        <v>Revise</v>
      </c>
      <c r="E130" s="14" t="str">
        <f t="shared" si="11"/>
        <v>Revise</v>
      </c>
      <c r="F130" s="14" t="str">
        <f t="shared" si="11"/>
        <v>Revise</v>
      </c>
      <c r="G130" s="14" t="str">
        <f t="shared" si="11"/>
        <v>Revise</v>
      </c>
      <c r="H130" s="14" t="str">
        <f t="shared" si="11"/>
        <v>Revise</v>
      </c>
      <c r="I130" s="14" t="str">
        <f t="shared" si="11"/>
        <v>Revise</v>
      </c>
      <c r="J130" s="14" t="str">
        <f t="shared" si="11"/>
        <v>Revise</v>
      </c>
      <c r="K130" s="14" t="str">
        <f t="shared" si="11"/>
        <v>Revise</v>
      </c>
      <c r="L130" s="14" t="str">
        <f t="shared" si="11"/>
        <v>Revise</v>
      </c>
      <c r="M130" s="14" t="str">
        <f t="shared" si="11"/>
        <v>Revise</v>
      </c>
      <c r="N130" s="14" t="str">
        <f t="shared" si="11"/>
        <v>Revise</v>
      </c>
      <c r="O130" s="14" t="str">
        <f t="shared" si="11"/>
        <v>Revise</v>
      </c>
      <c r="P130" s="14" t="str">
        <f t="shared" si="11"/>
        <v>Revise</v>
      </c>
      <c r="Q130" s="14" t="str">
        <f t="shared" si="11"/>
        <v>Revise</v>
      </c>
      <c r="R130" s="14" t="str">
        <f t="shared" si="11"/>
        <v>Revise</v>
      </c>
      <c r="S130" s="14" t="str">
        <f t="shared" si="11"/>
        <v>Revise</v>
      </c>
      <c r="T130" s="14" t="str">
        <f t="shared" si="11"/>
        <v>Revise</v>
      </c>
      <c r="U130" s="14" t="str">
        <f t="shared" si="11"/>
        <v>Revise</v>
      </c>
      <c r="V130" s="14" t="str">
        <f t="shared" si="11"/>
        <v>Revise</v>
      </c>
      <c r="W130" s="14" t="str">
        <f t="shared" si="11"/>
        <v>Revise</v>
      </c>
      <c r="X130" s="14" t="str">
        <f t="shared" si="11"/>
        <v>Revise</v>
      </c>
      <c r="Y130" s="14" t="str">
        <f t="shared" si="11"/>
        <v>Revise</v>
      </c>
      <c r="Z130" s="14" t="str">
        <f t="shared" si="11"/>
        <v>Revise</v>
      </c>
      <c r="AA130" s="14" t="str">
        <f t="shared" si="11"/>
        <v>Revise</v>
      </c>
      <c r="AB130" s="14" t="str">
        <f t="shared" si="11"/>
        <v>Revise</v>
      </c>
      <c r="AC130" s="14" t="str">
        <f t="shared" si="11"/>
        <v>Revise</v>
      </c>
      <c r="AD130" s="14" t="str">
        <f t="shared" si="11"/>
        <v>Revise</v>
      </c>
      <c r="AE130" s="14" t="str">
        <f t="shared" si="11"/>
        <v>Revise</v>
      </c>
      <c r="AF130" s="14" t="str">
        <f t="shared" si="11"/>
        <v>Revise</v>
      </c>
    </row>
    <row r="131" spans="1:32"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</sheetData>
  <sortState xmlns:xlrd2="http://schemas.microsoft.com/office/spreadsheetml/2017/richdata2" ref="A2:AF121">
    <sortCondition ref="A2:A121"/>
  </sortState>
  <mergeCells count="8">
    <mergeCell ref="A129:B129"/>
    <mergeCell ref="A130:B130"/>
    <mergeCell ref="A123:AG123"/>
    <mergeCell ref="A124:B124"/>
    <mergeCell ref="A125:B125"/>
    <mergeCell ref="A126:B126"/>
    <mergeCell ref="A127:B127"/>
    <mergeCell ref="A128:B1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 Analysis</vt:lpstr>
      <vt:lpstr>Summary of Results</vt:lpstr>
      <vt:lpstr>Reliability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Gardoce</cp:lastModifiedBy>
  <dcterms:created xsi:type="dcterms:W3CDTF">2026-08-13T14:53:06Z</dcterms:created>
  <dcterms:modified xsi:type="dcterms:W3CDTF">2026-09-05T14:24:08Z</dcterms:modified>
</cp:coreProperties>
</file>